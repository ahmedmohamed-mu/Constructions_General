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bb4732ac0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9e835191404e69"/>
    <x:sheet xmlns:r="http://schemas.openxmlformats.org/officeDocument/2006/relationships" name="Migration Register" sheetId="2" r:id="R88d414fa7719499e"/>
    <x:sheet xmlns:r="http://schemas.openxmlformats.org/officeDocument/2006/relationships" name="Reconciliation" sheetId="3" r:id="R9c39a59ce35d43d9"/>
    <x:sheet xmlns:r="http://schemas.openxmlformats.org/officeDocument/2006/relationships" name="UAT Scenarios" sheetId="4" r:id="R251e2488d0e446b5"/>
    <x:sheet xmlns:r="http://schemas.openxmlformats.org/officeDocument/2006/relationships" name="Cutover Checklist" sheetId="5" r:id="R9e85af0806174680"/>
    <x:sheet xmlns:r="http://schemas.openxmlformats.org/officeDocument/2006/relationships" name="Master Data" sheetId="6" r:id="R343a831401544dbb"/>
    <x:sheet xmlns:r="http://schemas.openxmlformats.org/officeDocument/2006/relationships" name="Projects Contracts" sheetId="7" r:id="R016af163f3584069"/>
    <x:sheet xmlns:r="http://schemas.openxmlformats.org/officeDocument/2006/relationships" name="BOQ Budget Lines" sheetId="8" r:id="Ra41dfbaa140143c7"/>
    <x:sheet xmlns:r="http://schemas.openxmlformats.org/officeDocument/2006/relationships" name="Open Transactions" sheetId="9" r:id="R83e41376ed464f45"/>
    <x:sheet xmlns:r="http://schemas.openxmlformats.org/officeDocument/2006/relationships" name="Opening Balances" sheetId="10" r:id="R658ae61231434e7c"/>
    <x:sheet xmlns:r="http://schemas.openxmlformats.org/officeDocument/2006/relationships" name="Issue Log" sheetId="11" r:id="R08d29f190efb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#,##0.0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17365D"/>
      <x:name val="Carlito"/>
    </x:font>
    <x:font>
      <x:b/>
      <x:sz val="10"/>
      <x:color rgb="FF1F2937"/>
      <x:name val="Aptos"/>
    </x:font>
    <x:font>
      <x:i/>
      <x:sz val="10"/>
      <x:color rgb="FF1F2937"/>
      <x:name val="Aptos"/>
    </x:font>
    <x:font>
      <x:sz val="10"/>
      <x:color rgb="FF1F2937"/>
      <x:name val="Aptos"/>
    </x:font>
    <x:font>
      <x:b/>
      <x:sz val="16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F4F7FA"/>
      </x:patternFill>
    </x:fill>
  </x:fills>
  <x:borders count="13">
    <x:border/>
    <x:border>
      <x:right style="thin">
        <x:color rgb="FFB7C9D6"/>
      </x:right>
    </x:border>
    <x:border>
      <x:left style="thin">
        <x:color rgb="FFB7C9D6"/>
      </x:left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left style="thin">
        <x:color rgb="FFB7C9D6"/>
      </x:left>
      <x:right style="thin">
        <x:color rgb="FFB7C9D6"/>
      </x:right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200" fontId="4" fillId="5" borderId="4" xfId="0" applyNumberFormat="1" applyFont="1" applyFill="1" applyBorder="1" applyAlignment="1">
      <x:alignment vertical="center" wrapText="1"/>
    </x:xf>
    <x:xf numFmtId="200" fontId="4" fillId="5" borderId="6" xfId="0" applyNumberFormat="1" applyFont="1" applyFill="1" applyBorder="1" applyAlignment="1">
      <x:alignment vertical="center" wrapText="1"/>
    </x:xf>
    <x:xf numFmtId="200" fontId="4" fillId="5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202" fontId="0" fillId="0" borderId="11" xfId="0" applyNumberFormat="1" applyFont="1" applyFill="1" applyBorder="1" applyAlignment="1">
      <x:alignment vertical="center" wrapText="1"/>
    </x:xf>
    <x:xf numFmtId="202" fontId="0" fillId="0" borderId="12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1" fontId="0" fillId="0" borderId="11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200" fontId="5" fillId="5" borderId="4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201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5" fillId="5" borderId="6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vertical="center" wrapText="1"/>
    </x:xf>
    <x:xf numFmtId="201" fontId="7" fillId="0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201" fontId="7" fillId="0" borderId="8" xfId="0" applyNumberFormat="1" applyFont="1" applyFill="1" applyBorder="1" applyAlignment="1">
      <x:alignment vertical="center" wrapText="1"/>
    </x:xf>
    <x:xf numFmtId="200" fontId="5" fillId="5" borderId="8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200" fontId="7" fillId="0" borderId="10" xfId="0" applyNumberFormat="1" applyFont="1" applyFill="1" applyBorder="1" applyAlignment="1">
      <x:alignment vertical="center" wrapText="1"/>
    </x:xf>
    <x:xf numFmtId="200" fontId="7" fillId="0" borderId="11" xfId="0" applyNumberFormat="1" applyFont="1" applyFill="1" applyBorder="1" applyAlignment="1">
      <x:alignment vertical="center" wrapText="1"/>
    </x:xf>
    <x:xf numFmtId="200" fontId="7" fillId="0" borderId="12" xfId="0" applyNumberFormat="1" applyFont="1" applyFill="1" applyBorder="1" applyAlignment="1">
      <x:alignment vertical="center" wrapText="1"/>
    </x:xf>
    <x:xf numFmtId="202" fontId="7" fillId="0" borderId="10" xfId="0" applyNumberFormat="1" applyFont="1" applyFill="1" applyBorder="1" applyAlignment="1">
      <x:alignment vertical="center" wrapText="1"/>
    </x:xf>
    <x:xf numFmtId="202" fontId="7" fillId="0" borderId="11" xfId="0" applyNumberFormat="1" applyFont="1" applyFill="1" applyBorder="1" applyAlignment="1">
      <x:alignment vertical="center" wrapText="1"/>
    </x:xf>
    <x:xf numFmtId="202" fontId="7" fillId="0" borderId="12" xfId="0" applyNumberFormat="1" applyFont="1" applyFill="1" applyBorder="1" applyAlignment="1">
      <x:alignment vertical="center" wrapText="1"/>
    </x:xf>
    <x:xf numFmtId="201" fontId="7" fillId="0" borderId="10" xfId="0" applyNumberFormat="1" applyFont="1" applyFill="1" applyBorder="1" applyAlignment="1">
      <x:alignment vertical="center" wrapText="1"/>
    </x:xf>
    <x:xf numFmtId="201" fontId="7" fillId="0" borderId="11" xfId="0" applyNumberFormat="1" applyFont="1" applyFill="1" applyBorder="1" applyAlignment="1">
      <x:alignment vertical="center" wrapText="1"/>
    </x:xf>
    <x:xf numFmtId="201" fontId="7" fillId="0" borderId="12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b72443506a4f37" /><Relationship Type="http://schemas.openxmlformats.org/officeDocument/2006/relationships/theme" Target="/xl/theme/theme1.xml" Id="R0678d78cd7ab457c" /><Relationship Type="http://schemas.microsoft.com/office/2022/11/relationships/FeaturePropertyBag" Target="/xl/featurePropertyBag/featurePropertyBag.xml" Id="R54fb391ce1ed417f" /><Relationship Type="http://schemas.openxmlformats.org/officeDocument/2006/relationships/sharedStrings" Target="/xl/sharedStrings.xml" Id="Rb56398a627b647b2" /><Relationship Type="http://schemas.openxmlformats.org/officeDocument/2006/relationships/worksheet" Target="/xl/worksheets/sheet1.xml" Id="R3c9e835191404e69" /><Relationship Type="http://schemas.openxmlformats.org/officeDocument/2006/relationships/worksheet" Target="/xl/worksheets/sheet2.xml" Id="R88d414fa7719499e" /><Relationship Type="http://schemas.openxmlformats.org/officeDocument/2006/relationships/worksheet" Target="/xl/worksheets/sheet3.xml" Id="R9c39a59ce35d43d9" /><Relationship Type="http://schemas.openxmlformats.org/officeDocument/2006/relationships/worksheet" Target="/xl/worksheets/sheet4.xml" Id="R251e2488d0e446b5" /><Relationship Type="http://schemas.openxmlformats.org/officeDocument/2006/relationships/worksheet" Target="/xl/worksheets/sheet5.xml" Id="R9e85af0806174680" /><Relationship Type="http://schemas.openxmlformats.org/officeDocument/2006/relationships/worksheet" Target="/xl/worksheets/sheet6.xml" Id="R343a831401544dbb" /><Relationship Type="http://schemas.openxmlformats.org/officeDocument/2006/relationships/worksheet" Target="/xl/worksheets/sheet7.xml" Id="R016af163f3584069" /><Relationship Type="http://schemas.openxmlformats.org/officeDocument/2006/relationships/worksheet" Target="/xl/worksheets/sheet8.xml" Id="Ra41dfbaa140143c7" /><Relationship Type="http://schemas.openxmlformats.org/officeDocument/2006/relationships/worksheet" Target="/xl/worksheets/sheet9.xml" Id="R83e41376ed464f45" /><Relationship Type="http://schemas.openxmlformats.org/officeDocument/2006/relationships/worksheet" Target="/xl/worksheets/sheet10.xml" Id="R658ae61231434e7c" /><Relationship Type="http://schemas.openxmlformats.org/officeDocument/2006/relationships/worksheet" Target="/xl/worksheets/sheet11.xml" Id="R08d29f190efb43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igrationRegisterTable" displayName="MigrationRegisterTable" ref="A4:L32" headerRowCount="1" totalsRowCount="0" totalsRowShown="0">
  <x:tableColumns count="12">
    <x:tableColumn id="1" name="Seq"/>
    <x:tableColumn id="2" name="Object"/>
    <x:tableColumn id="3" name="Odoo model / route"/>
    <x:tableColumn id="4" name="Business owner"/>
    <x:tableColumn id="5" name="Source file / system"/>
    <x:tableColumn id="6" name="Mapping status"/>
    <x:tableColumn id="7" name="Dry-run status"/>
    <x:tableColumn id="8" name="Source rows"/>
    <x:tableColumn id="9" name="Imported rows"/>
    <x:tableColumn id="10" name="Rejected rows"/>
    <x:tableColumn id="11" name="Count variance"/>
    <x:tableColumn id="12" name="Accep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479775faa043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3" hidden="0" customWidth="1"/>
    <x:col min="4" max="4" width="25" hidden="0" customWidth="1"/>
    <x:col min="5" max="5" width="24" hidden="0" customWidth="1"/>
    <x:col min="6" max="6" width="34" hidden="0" customWidth="1"/>
    <x:col min="7" max="7" width="16" hidden="0" customWidth="1"/>
    <x:col min="8" max="8" width="14" hidden="0" customWidth="1"/>
  </x:cols>
  <x:sheetData>
    <x:row r="1" ht="30" customHeight="1">
      <x:c r="A1" s="93" t="str">
        <x:v>CW-150 Migration, UAT &amp; Cutover Control</x:v>
      </x:c>
      <x:c r="B1" s="72"/>
      <x:c r="C1" s="72"/>
      <x:c r="D1" s="72"/>
      <x:c r="E1" s="72"/>
      <x:c r="F1" s="72"/>
      <x:c r="G1" s="72"/>
      <x:c r="H1" s="72"/>
    </x:row>
    <x:row r="2" ht="32" customHeight="1">
      <x:c r="A2" s="73" t="str">
        <x:v>Formula-driven control sheet. No Production migration is authorized by this workbook.</x:v>
      </x:c>
      <x:c r="B2" s="73"/>
      <x:c r="C2" s="73"/>
      <x:c r="D2" s="73"/>
      <x:c r="E2" s="73"/>
      <x:c r="F2" s="73"/>
      <x:c r="G2" s="73"/>
      <x:c r="H2" s="73"/>
    </x:row>
    <x:row r="3">
      <x:c r="A3" s="74"/>
      <x:c r="B3" s="74"/>
      <x:c r="C3" s="74"/>
      <x:c r="D3" s="74"/>
      <x:c r="E3" s="74"/>
      <x:c r="F3" s="74"/>
      <x:c r="G3" s="74"/>
      <x:c r="H3" s="74"/>
    </x:row>
    <x:row r="4" ht="28" customHeight="1">
      <x:c r="A4" s="75" t="str">
        <x:v>Control KPI</x:v>
      </x:c>
      <x:c r="B4" s="76" t="str">
        <x:v>Value</x:v>
      </x:c>
      <x:c r="C4" s="74"/>
      <x:c r="D4" s="75" t="str">
        <x:v>Gate</x:v>
      </x:c>
      <x:c r="E4" s="77" t="str">
        <x:v>Owner</x:v>
      </x:c>
      <x:c r="F4" s="77" t="str">
        <x:v>Required evidence</x:v>
      </x:c>
      <x:c r="G4" s="77" t="str">
        <x:v>Status</x:v>
      </x:c>
      <x:c r="H4" s="76" t="str">
        <x:v>Decision date</x:v>
      </x:c>
    </x:row>
    <x:row r="5">
      <x:c r="A5" s="78" t="str">
        <x:v>Migration objects</x:v>
      </x:c>
      <x:c r="B5" s="79" t="n">
        <x:f>COUNTA('Migration Register'!$B$5:$B$32)</x:f>
        <x:v>28</x:v>
      </x:c>
      <x:c r="C5" s="74"/>
      <x:c r="D5" s="78" t="str">
        <x:v>Data mapping approved</x:v>
      </x:c>
      <x:c r="E5" s="80" t="str">
        <x:v>Business owners</x:v>
      </x:c>
      <x:c r="F5" s="80" t="str">
        <x:v>Signed mapping + source extract</x:v>
      </x:c>
      <x:c r="G5" s="80" t="str">
        <x:v>Not Started</x:v>
      </x:c>
      <x:c r="H5" s="81"/>
    </x:row>
    <x:row r="6">
      <x:c r="A6" s="82" t="str">
        <x:v>Objects accepted</x:v>
      </x:c>
      <x:c r="B6" s="83" t="n">
        <x:f>COUNTIF('Migration Register'!$L$5:$L$32,"Accepted")</x:f>
        <x:v>0</x:v>
      </x:c>
      <x:c r="C6" s="74"/>
      <x:c r="D6" s="82" t="str">
        <x:v>Dry run reconciled</x:v>
      </x:c>
      <x:c r="E6" s="84" t="str">
        <x:v>Migration Lead / Finance</x:v>
      </x:c>
      <x:c r="F6" s="84" t="str">
        <x:v>Import logs + reconciliation</x:v>
      </x:c>
      <x:c r="G6" s="84" t="str">
        <x:v>Not Started</x:v>
      </x:c>
      <x:c r="H6" s="85"/>
    </x:row>
    <x:row r="7">
      <x:c r="A7" s="82" t="str">
        <x:v>Reconciliation failures</x:v>
      </x:c>
      <x:c r="B7" s="83" t="n">
        <x:f>COUNTIF('Reconciliation'!$G$5:$G$14,"FAIL")</x:f>
        <x:v>0</x:v>
      </x:c>
      <x:c r="C7" s="74"/>
      <x:c r="D7" s="82" t="str">
        <x:v>Golden UAT signed</x:v>
      </x:c>
      <x:c r="E7" s="84" t="str">
        <x:v>Process owners</x:v>
      </x:c>
      <x:c r="F7" s="84" t="str">
        <x:v>Scenario evidence</x:v>
      </x:c>
      <x:c r="G7" s="84" t="str">
        <x:v>Not Started</x:v>
      </x:c>
      <x:c r="H7" s="85"/>
    </x:row>
    <x:row r="8">
      <x:c r="A8" s="82" t="str">
        <x:v>UAT scenarios passed</x:v>
      </x:c>
      <x:c r="B8" s="83" t="n">
        <x:f>COUNTIF('UAT Scenarios'!$H$5:$H$10,"Passed")</x:f>
        <x:v>0</x:v>
      </x:c>
      <x:c r="C8" s="74"/>
      <x:c r="D8" s="82" t="str">
        <x:v>Pilot / parallel run accepted</x:v>
      </x:c>
      <x:c r="E8" s="84" t="str">
        <x:v>Steering Committee</x:v>
      </x:c>
      <x:c r="F8" s="84" t="str">
        <x:v>Pilot sign-off</x:v>
      </x:c>
      <x:c r="G8" s="84" t="str">
        <x:v>Not Started</x:v>
      </x:c>
      <x:c r="H8" s="85"/>
    </x:row>
    <x:row r="9">
      <x:c r="A9" s="82" t="str">
        <x:v>Open critical issues</x:v>
      </x:c>
      <x:c r="B9" s="83" t="n">
        <x:f>COUNTIFS('Issue Log'!$C$5:$C$34,"Critical",'Issue Log'!$H$5:$H$34,"&lt;&gt;Closed")</x:f>
        <x:v>0</x:v>
      </x:c>
      <x:c r="C9" s="74"/>
      <x:c r="D9" s="86" t="str">
        <x:v>Production cutover approval</x:v>
      </x:c>
      <x:c r="E9" s="87" t="str">
        <x:v>Executive Sponsor</x:v>
      </x:c>
      <x:c r="F9" s="87" t="str">
        <x:v>Go / No-Go minutes</x:v>
      </x:c>
      <x:c r="G9" s="87" t="str">
        <x:v>Blocked</x:v>
      </x:c>
      <x:c r="H9" s="88"/>
    </x:row>
    <x:row r="10">
      <x:c r="A10" s="86" t="str">
        <x:v>Cutover gates complete</x:v>
      </x:c>
      <x:c r="B10" s="89" t="n">
        <x:f>COUNTIF('Cutover Checklist'!$F$5:$F$20,"Complete")</x:f>
        <x:v>0</x:v>
      </x:c>
      <x:c r="C10" s="74"/>
      <x:c r="D10" s="74"/>
      <x:c r="E10" s="74"/>
      <x:c r="F10" s="74"/>
      <x:c r="G10" s="74"/>
      <x:c r="H10" s="74"/>
    </x:row>
    <x:row r="11">
      <x:c r="A11" s="74"/>
      <x:c r="B11" s="74"/>
      <x:c r="C11" s="74"/>
      <x:c r="D11" s="74"/>
      <x:c r="E11" s="74"/>
      <x:c r="F11" s="74"/>
      <x:c r="G11" s="74"/>
      <x:c r="H11" s="74"/>
    </x:row>
    <x:row r="12">
      <x:c r="A12" s="74"/>
      <x:c r="B12" s="74"/>
      <x:c r="C12" s="74"/>
      <x:c r="D12" s="74"/>
      <x:c r="E12" s="74"/>
      <x:c r="F12" s="74"/>
      <x:c r="G12" s="74"/>
      <x:c r="H12" s="74"/>
    </x:row>
    <x:row r="13" ht="28" customHeight="1">
      <x:c r="A13" s="75" t="str">
        <x:v>Operating rule</x:v>
      </x:c>
      <x:c r="B13" s="77" t="str">
        <x:v>Details</x:v>
      </x:c>
      <x:c r="C13" s="77"/>
      <x:c r="D13" s="77"/>
      <x:c r="E13" s="77"/>
      <x:c r="F13" s="77"/>
      <x:c r="G13" s="77"/>
      <x:c r="H13" s="76"/>
    </x:row>
    <x:row r="14">
      <x:c r="A14" s="78" t="str">
        <x:v>Environment</x:v>
      </x:c>
      <x:c r="B14" s="80" t="str">
        <x:v>All imports and module upgrades run on Development/Staging first.</x:v>
      </x:c>
      <x:c r="C14" s="80"/>
      <x:c r="D14" s="80"/>
      <x:c r="E14" s="80"/>
      <x:c r="F14" s="80"/>
      <x:c r="G14" s="80"/>
      <x:c r="H14" s="90"/>
    </x:row>
    <x:row r="15">
      <x:c r="A15" s="82" t="str">
        <x:v>Financial safety</x:v>
      </x:c>
      <x:c r="B15" s="84" t="str">
        <x:v>Do not post invoices, bills, journal entries, payments, taxes, or opening balances without explicit approval.</x:v>
      </x:c>
      <x:c r="C15" s="84"/>
      <x:c r="D15" s="84"/>
      <x:c r="E15" s="84"/>
      <x:c r="F15" s="84"/>
      <x:c r="G15" s="84"/>
      <x:c r="H15" s="91"/>
    </x:row>
    <x:row r="16">
      <x:c r="A16" s="82" t="str">
        <x:v>Data preservation</x:v>
      </x:c>
      <x:c r="B16" s="84" t="str">
        <x:v>Approved/posted documents are corrected by revision, reversal, cancellation, or credit note—not deletion.</x:v>
      </x:c>
      <x:c r="C16" s="84"/>
      <x:c r="D16" s="84"/>
      <x:c r="E16" s="84"/>
      <x:c r="F16" s="84"/>
      <x:c r="G16" s="84"/>
      <x:c r="H16" s="91"/>
    </x:row>
    <x:row r="17">
      <x:c r="A17" s="86" t="str">
        <x:v>Cutover</x:v>
      </x:c>
      <x:c r="B17" s="87" t="str">
        <x:v>Production remains blocked until dry run, reconciliation, role UAT, pilot, backup, and signed Go/No-Go are complete.</x:v>
      </x:c>
      <x:c r="C17" s="87"/>
      <x:c r="D17" s="87"/>
      <x:c r="E17" s="87"/>
      <x:c r="F17" s="87"/>
      <x:c r="G17" s="87"/>
      <x:c r="H17" s="92"/>
    </x:row>
  </x:sheetData>
  <x:mergeCells>
    <x:mergeCell ref="A1:H1"/>
    <x:mergeCell ref="A2:H2"/>
    <x:mergeCell ref="B13:H13"/>
    <x:mergeCell ref="B14:H14"/>
    <x:mergeCell ref="B15:H15"/>
    <x:mergeCell ref="B16:H16"/>
    <x:mergeCell ref="B17:H17"/>
  </x:mergeCells>
  <x:conditionalFormatting sqref="G5:G9">
    <x:cfRule type="containsText" dxfId="0" priority="1" operator="containsText" text="Complete"/>
    <x:cfRule type="containsText" dxfId="1" priority="2" operator="containsText" text="Blocked"/>
  </x:conditionalFormatting>
  <x:dataValidations count="1">
    <x:dataValidation type="list" sqref="G5:G9">
      <x:formula1>"Not Started,In Progress,Complete,Blocked"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34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0" customHeight="1">
      <x:c r="A1" s="93" t="str">
        <x:v>Migration Object Register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</x:row>
    <x:row r="2" ht="32" customHeight="1">
      <x:c r="A2" s="73" t="str">
        <x:v>Complete in dependency order. Status Accepted requires mapping, dry run, counts, reconciliation and owner sign-off.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</x:row>
    <x:row r="4" ht="28" customHeight="1">
      <x:c r="A4" s="75" t="str">
        <x:v>Seq</x:v>
      </x:c>
      <x:c r="B4" s="77" t="str">
        <x:v>Object</x:v>
      </x:c>
      <x:c r="C4" s="77" t="str">
        <x:v>Odoo model / route</x:v>
      </x:c>
      <x:c r="D4" s="77" t="str">
        <x:v>Business owner</x:v>
      </x:c>
      <x:c r="E4" s="77" t="str">
        <x:v>Source file / system</x:v>
      </x:c>
      <x:c r="F4" s="77" t="str">
        <x:v>Mapping status</x:v>
      </x:c>
      <x:c r="G4" s="77" t="str">
        <x:v>Dry-run status</x:v>
      </x:c>
      <x:c r="H4" s="77" t="str">
        <x:v>Source rows</x:v>
      </x:c>
      <x:c r="I4" s="77" t="str">
        <x:v>Imported rows</x:v>
      </x:c>
      <x:c r="J4" s="77" t="str">
        <x:v>Rejected rows</x:v>
      </x:c>
      <x:c r="K4" s="77" t="str">
        <x:v>Count variance</x:v>
      </x:c>
      <x:c r="L4" s="76" t="str">
        <x:v>Acceptance</x:v>
      </x:c>
    </x:row>
    <x:row r="5">
      <x:c r="A5" s="78" t="n">
        <x:v>1</x:v>
      </x:c>
      <x:c r="B5" s="80" t="str">
        <x:v>Companies</x:v>
      </x:c>
      <x:c r="C5" s="80" t="str">
        <x:v>res.company</x:v>
      </x:c>
      <x:c r="D5" s="80" t="str"/>
      <x:c r="E5" s="80" t="str"/>
      <x:c r="F5" s="80" t="str">
        <x:v>Not Started</x:v>
      </x:c>
      <x:c r="G5" s="80" t="str">
        <x:v>Not Started</x:v>
      </x:c>
      <x:c r="H5" s="94" t="n">
        <x:v>0</x:v>
      </x:c>
      <x:c r="I5" s="94" t="n">
        <x:v>0</x:v>
      </x:c>
      <x:c r="J5" s="94" t="n">
        <x:v>0</x:v>
      </x:c>
      <x:c r="K5" s="94" t="n">
        <x:f>I5+J5-H5</x:f>
        <x:v>0</x:v>
      </x:c>
      <x:c r="L5" s="90" t="str">
        <x:v>Not Started</x:v>
      </x:c>
    </x:row>
    <x:row r="6">
      <x:c r="A6" s="82" t="n">
        <x:v>2</x:v>
      </x:c>
      <x:c r="B6" s="84" t="str">
        <x:v>Branches</x:v>
      </x:c>
      <x:c r="C6" s="84" t="str">
        <x:v>res.company / branch configuration</x:v>
      </x:c>
      <x:c r="D6" s="84" t="str"/>
      <x:c r="E6" s="84" t="str"/>
      <x:c r="F6" s="84" t="str">
        <x:v>Not Started</x:v>
      </x:c>
      <x:c r="G6" s="84" t="str">
        <x:v>Not Started</x:v>
      </x:c>
      <x:c r="H6" s="95" t="n">
        <x:v>0</x:v>
      </x:c>
      <x:c r="I6" s="95" t="n">
        <x:v>0</x:v>
      </x:c>
      <x:c r="J6" s="95" t="n">
        <x:v>0</x:v>
      </x:c>
      <x:c r="K6" s="95" t="n">
        <x:f>I6+J6-H6</x:f>
        <x:v>0</x:v>
      </x:c>
      <x:c r="L6" s="91" t="str">
        <x:v>Not Started</x:v>
      </x:c>
    </x:row>
    <x:row r="7">
      <x:c r="A7" s="82" t="n">
        <x:v>3</x:v>
      </x:c>
      <x:c r="B7" s="84" t="str">
        <x:v>Users</x:v>
      </x:c>
      <x:c r="C7" s="84" t="str">
        <x:v>res.users</x:v>
      </x:c>
      <x:c r="D7" s="84" t="str"/>
      <x:c r="E7" s="84" t="str"/>
      <x:c r="F7" s="84" t="str">
        <x:v>Not Started</x:v>
      </x:c>
      <x:c r="G7" s="84" t="str">
        <x:v>Not Started</x:v>
      </x:c>
      <x:c r="H7" s="95" t="n">
        <x:v>0</x:v>
      </x:c>
      <x:c r="I7" s="95" t="n">
        <x:v>0</x:v>
      </x:c>
      <x:c r="J7" s="95" t="n">
        <x:v>0</x:v>
      </x:c>
      <x:c r="K7" s="95" t="n">
        <x:f>I7+J7-H7</x:f>
        <x:v>0</x:v>
      </x:c>
      <x:c r="L7" s="91" t="str">
        <x:v>Not Started</x:v>
      </x:c>
    </x:row>
    <x:row r="8">
      <x:c r="A8" s="82" t="n">
        <x:v>4</x:v>
      </x:c>
      <x:c r="B8" s="84" t="str">
        <x:v>Partners</x:v>
      </x:c>
      <x:c r="C8" s="84" t="str">
        <x:v>res.partner</x:v>
      </x:c>
      <x:c r="D8" s="84" t="str"/>
      <x:c r="E8" s="84" t="str"/>
      <x:c r="F8" s="84" t="str">
        <x:v>Not Started</x:v>
      </x:c>
      <x:c r="G8" s="84" t="str">
        <x:v>Not Started</x:v>
      </x:c>
      <x:c r="H8" s="95" t="n">
        <x:v>0</x:v>
      </x:c>
      <x:c r="I8" s="95" t="n">
        <x:v>0</x:v>
      </x:c>
      <x:c r="J8" s="95" t="n">
        <x:v>0</x:v>
      </x:c>
      <x:c r="K8" s="95" t="n">
        <x:f>I8+J8-H8</x:f>
        <x:v>0</x:v>
      </x:c>
      <x:c r="L8" s="91" t="str">
        <x:v>Not Started</x:v>
      </x:c>
    </x:row>
    <x:row r="9">
      <x:c r="A9" s="82" t="n">
        <x:v>5</x:v>
      </x:c>
      <x:c r="B9" s="84" t="str">
        <x:v>Product Categories</x:v>
      </x:c>
      <x:c r="C9" s="84" t="str">
        <x:v>product.category</x:v>
      </x:c>
      <x:c r="D9" s="84" t="str"/>
      <x:c r="E9" s="84" t="str"/>
      <x:c r="F9" s="84" t="str">
        <x:v>Not Started</x:v>
      </x:c>
      <x:c r="G9" s="84" t="str">
        <x:v>Not Started</x:v>
      </x:c>
      <x:c r="H9" s="95" t="n">
        <x:v>0</x:v>
      </x:c>
      <x:c r="I9" s="95" t="n">
        <x:v>0</x:v>
      </x:c>
      <x:c r="J9" s="95" t="n">
        <x:v>0</x:v>
      </x:c>
      <x:c r="K9" s="95" t="n">
        <x:f>I9+J9-H9</x:f>
        <x:v>0</x:v>
      </x:c>
      <x:c r="L9" s="91" t="str">
        <x:v>Not Started</x:v>
      </x:c>
    </x:row>
    <x:row r="10">
      <x:c r="A10" s="82" t="n">
        <x:v>6</x:v>
      </x:c>
      <x:c r="B10" s="84" t="str">
        <x:v>Products / Resources</x:v>
      </x:c>
      <x:c r="C10" s="84" t="str">
        <x:v>product.template</x:v>
      </x:c>
      <x:c r="D10" s="84" t="str"/>
      <x:c r="E10" s="84" t="str"/>
      <x:c r="F10" s="84" t="str">
        <x:v>Not Started</x:v>
      </x:c>
      <x:c r="G10" s="84" t="str">
        <x:v>Not Started</x:v>
      </x:c>
      <x:c r="H10" s="95" t="n">
        <x:v>0</x:v>
      </x:c>
      <x:c r="I10" s="95" t="n">
        <x:v>0</x:v>
      </x:c>
      <x:c r="J10" s="95" t="n">
        <x:v>0</x:v>
      </x:c>
      <x:c r="K10" s="95" t="n">
        <x:f>I10+J10-H10</x:f>
        <x:v>0</x:v>
      </x:c>
      <x:c r="L10" s="91" t="str">
        <x:v>Not Started</x:v>
      </x:c>
    </x:row>
    <x:row r="11">
      <x:c r="A11" s="82" t="n">
        <x:v>7</x:v>
      </x:c>
      <x:c r="B11" s="84" t="str">
        <x:v>Units of Measure</x:v>
      </x:c>
      <x:c r="C11" s="84" t="str">
        <x:v>uom.uom</x:v>
      </x:c>
      <x:c r="D11" s="84" t="str"/>
      <x:c r="E11" s="84" t="str"/>
      <x:c r="F11" s="84" t="str">
        <x:v>Not Started</x:v>
      </x:c>
      <x:c r="G11" s="84" t="str">
        <x:v>Not Started</x:v>
      </x:c>
      <x:c r="H11" s="95" t="n">
        <x:v>0</x:v>
      </x:c>
      <x:c r="I11" s="95" t="n">
        <x:v>0</x:v>
      </x:c>
      <x:c r="J11" s="95" t="n">
        <x:v>0</x:v>
      </x:c>
      <x:c r="K11" s="95" t="n">
        <x:f>I11+J11-H11</x:f>
        <x:v>0</x:v>
      </x:c>
      <x:c r="L11" s="91" t="str">
        <x:v>Not Started</x:v>
      </x:c>
    </x:row>
    <x:row r="12">
      <x:c r="A12" s="82" t="n">
        <x:v>8</x:v>
      </x:c>
      <x:c r="B12" s="84" t="str">
        <x:v>Cost Codes</x:v>
      </x:c>
      <x:c r="C12" s="84" t="str">
        <x:v>mu.construction.cost.code</x:v>
      </x:c>
      <x:c r="D12" s="84" t="str"/>
      <x:c r="E12" s="84" t="str"/>
      <x:c r="F12" s="84" t="str">
        <x:v>Not Started</x:v>
      </x:c>
      <x:c r="G12" s="84" t="str">
        <x:v>Not Started</x:v>
      </x:c>
      <x:c r="H12" s="95" t="n">
        <x:v>0</x:v>
      </x:c>
      <x:c r="I12" s="95" t="n">
        <x:v>0</x:v>
      </x:c>
      <x:c r="J12" s="95" t="n">
        <x:v>0</x:v>
      </x:c>
      <x:c r="K12" s="95" t="n">
        <x:f>I12+J12-H12</x:f>
        <x:v>0</x:v>
      </x:c>
      <x:c r="L12" s="91" t="str">
        <x:v>Not Started</x:v>
      </x:c>
    </x:row>
    <x:row r="13">
      <x:c r="A13" s="82" t="n">
        <x:v>9</x:v>
      </x:c>
      <x:c r="B13" s="84" t="str">
        <x:v>WBS Templates</x:v>
      </x:c>
      <x:c r="C13" s="84" t="str">
        <x:v>mu.construction.wbs</x:v>
      </x:c>
      <x:c r="D13" s="84" t="str"/>
      <x:c r="E13" s="84" t="str"/>
      <x:c r="F13" s="84" t="str">
        <x:v>Not Started</x:v>
      </x:c>
      <x:c r="G13" s="84" t="str">
        <x:v>Not Started</x:v>
      </x:c>
      <x:c r="H13" s="95" t="n">
        <x:v>0</x:v>
      </x:c>
      <x:c r="I13" s="95" t="n">
        <x:v>0</x:v>
      </x:c>
      <x:c r="J13" s="95" t="n">
        <x:v>0</x:v>
      </x:c>
      <x:c r="K13" s="95" t="n">
        <x:f>I13+J13-H13</x:f>
        <x:v>0</x:v>
      </x:c>
      <x:c r="L13" s="91" t="str">
        <x:v>Not Started</x:v>
      </x:c>
    </x:row>
    <x:row r="14">
      <x:c r="A14" s="82" t="n">
        <x:v>10</x:v>
      </x:c>
      <x:c r="B14" s="84" t="str">
        <x:v>Locations / LBS</x:v>
      </x:c>
      <x:c r="C14" s="84" t="str">
        <x:v>mu.construction.location</x:v>
      </x:c>
      <x:c r="D14" s="84" t="str"/>
      <x:c r="E14" s="84" t="str"/>
      <x:c r="F14" s="84" t="str">
        <x:v>Not Started</x:v>
      </x:c>
      <x:c r="G14" s="84" t="str">
        <x:v>Not Started</x:v>
      </x:c>
      <x:c r="H14" s="95" t="n">
        <x:v>0</x:v>
      </x:c>
      <x:c r="I14" s="95" t="n">
        <x:v>0</x:v>
      </x:c>
      <x:c r="J14" s="95" t="n">
        <x:v>0</x:v>
      </x:c>
      <x:c r="K14" s="95" t="n">
        <x:f>I14+J14-H14</x:f>
        <x:v>0</x:v>
      </x:c>
      <x:c r="L14" s="91" t="str">
        <x:v>Not Started</x:v>
      </x:c>
    </x:row>
    <x:row r="15">
      <x:c r="A15" s="82" t="n">
        <x:v>11</x:v>
      </x:c>
      <x:c r="B15" s="84" t="str">
        <x:v>Warehouses / Stock Locations</x:v>
      </x:c>
      <x:c r="C15" s="84" t="str">
        <x:v>stock.warehouse / stock.location</x:v>
      </x:c>
      <x:c r="D15" s="84" t="str"/>
      <x:c r="E15" s="84" t="str"/>
      <x:c r="F15" s="84" t="str">
        <x:v>Not Started</x:v>
      </x:c>
      <x:c r="G15" s="84" t="str">
        <x:v>Not Started</x:v>
      </x:c>
      <x:c r="H15" s="95" t="n">
        <x:v>0</x:v>
      </x:c>
      <x:c r="I15" s="95" t="n">
        <x:v>0</x:v>
      </x:c>
      <x:c r="J15" s="95" t="n">
        <x:v>0</x:v>
      </x:c>
      <x:c r="K15" s="95" t="n">
        <x:f>I15+J15-H15</x:f>
        <x:v>0</x:v>
      </x:c>
      <x:c r="L15" s="91" t="str">
        <x:v>Not Started</x:v>
      </x:c>
    </x:row>
    <x:row r="16">
      <x:c r="A16" s="82" t="n">
        <x:v>12</x:v>
      </x:c>
      <x:c r="B16" s="84" t="str">
        <x:v>Equipment</x:v>
      </x:c>
      <x:c r="C16" s="84" t="str">
        <x:v>maintenance.equipment / fleet.vehicle</x:v>
      </x:c>
      <x:c r="D16" s="84" t="str"/>
      <x:c r="E16" s="84" t="str"/>
      <x:c r="F16" s="84" t="str">
        <x:v>Not Started</x:v>
      </x:c>
      <x:c r="G16" s="84" t="str">
        <x:v>Not Started</x:v>
      </x:c>
      <x:c r="H16" s="95" t="n">
        <x:v>0</x:v>
      </x:c>
      <x:c r="I16" s="95" t="n">
        <x:v>0</x:v>
      </x:c>
      <x:c r="J16" s="95" t="n">
        <x:v>0</x:v>
      </x:c>
      <x:c r="K16" s="95" t="n">
        <x:f>I16+J16-H16</x:f>
        <x:v>0</x:v>
      </x:c>
      <x:c r="L16" s="91" t="str">
        <x:v>Not Started</x:v>
      </x:c>
    </x:row>
    <x:row r="17">
      <x:c r="A17" s="82" t="n">
        <x:v>13</x:v>
      </x:c>
      <x:c r="B17" s="84" t="str">
        <x:v>Contracts</x:v>
      </x:c>
      <x:c r="C17" s="84" t="str">
        <x:v>mu.construction.contract</x:v>
      </x:c>
      <x:c r="D17" s="84" t="str"/>
      <x:c r="E17" s="84" t="str"/>
      <x:c r="F17" s="84" t="str">
        <x:v>Not Started</x:v>
      </x:c>
      <x:c r="G17" s="84" t="str">
        <x:v>Not Started</x:v>
      </x:c>
      <x:c r="H17" s="95" t="n">
        <x:v>0</x:v>
      </x:c>
      <x:c r="I17" s="95" t="n">
        <x:v>0</x:v>
      </x:c>
      <x:c r="J17" s="95" t="n">
        <x:v>0</x:v>
      </x:c>
      <x:c r="K17" s="95" t="n">
        <x:f>I17+J17-H17</x:f>
        <x:v>0</x:v>
      </x:c>
      <x:c r="L17" s="91" t="str">
        <x:v>Not Started</x:v>
      </x:c>
    </x:row>
    <x:row r="18">
      <x:c r="A18" s="82" t="n">
        <x:v>14</x:v>
      </x:c>
      <x:c r="B18" s="84" t="str">
        <x:v>Projects</x:v>
      </x:c>
      <x:c r="C18" s="84" t="str">
        <x:v>project.project</x:v>
      </x:c>
      <x:c r="D18" s="84" t="str"/>
      <x:c r="E18" s="84" t="str"/>
      <x:c r="F18" s="84" t="str">
        <x:v>Not Started</x:v>
      </x:c>
      <x:c r="G18" s="84" t="str">
        <x:v>Not Started</x:v>
      </x:c>
      <x:c r="H18" s="95" t="n">
        <x:v>0</x:v>
      </x:c>
      <x:c r="I18" s="95" t="n">
        <x:v>0</x:v>
      </x:c>
      <x:c r="J18" s="95" t="n">
        <x:v>0</x:v>
      </x:c>
      <x:c r="K18" s="95" t="n">
        <x:f>I18+J18-H18</x:f>
        <x:v>0</x:v>
      </x:c>
      <x:c r="L18" s="91" t="str">
        <x:v>Not Started</x:v>
      </x:c>
    </x:row>
    <x:row r="19">
      <x:c r="A19" s="82" t="n">
        <x:v>15</x:v>
      </x:c>
      <x:c r="B19" s="84" t="str">
        <x:v>BOQs</x:v>
      </x:c>
      <x:c r="C19" s="84" t="str">
        <x:v>mu.construction.boq / line</x:v>
      </x:c>
      <x:c r="D19" s="84" t="str"/>
      <x:c r="E19" s="84" t="str"/>
      <x:c r="F19" s="84" t="str">
        <x:v>Not Started</x:v>
      </x:c>
      <x:c r="G19" s="84" t="str">
        <x:v>Not Started</x:v>
      </x:c>
      <x:c r="H19" s="95" t="n">
        <x:v>0</x:v>
      </x:c>
      <x:c r="I19" s="95" t="n">
        <x:v>0</x:v>
      </x:c>
      <x:c r="J19" s="95" t="n">
        <x:v>0</x:v>
      </x:c>
      <x:c r="K19" s="95" t="n">
        <x:f>I19+J19-H19</x:f>
        <x:v>0</x:v>
      </x:c>
      <x:c r="L19" s="91" t="str">
        <x:v>Not Started</x:v>
      </x:c>
    </x:row>
    <x:row r="20">
      <x:c r="A20" s="82" t="n">
        <x:v>16</x:v>
      </x:c>
      <x:c r="B20" s="84" t="str">
        <x:v>Budget Baselines</x:v>
      </x:c>
      <x:c r="C20" s="84" t="str">
        <x:v>mu.construction.budget.baseline / line</x:v>
      </x:c>
      <x:c r="D20" s="84" t="str"/>
      <x:c r="E20" s="84" t="str"/>
      <x:c r="F20" s="84" t="str">
        <x:v>Not Started</x:v>
      </x:c>
      <x:c r="G20" s="84" t="str">
        <x:v>Not Started</x:v>
      </x:c>
      <x:c r="H20" s="95" t="n">
        <x:v>0</x:v>
      </x:c>
      <x:c r="I20" s="95" t="n">
        <x:v>0</x:v>
      </x:c>
      <x:c r="J20" s="95" t="n">
        <x:v>0</x:v>
      </x:c>
      <x:c r="K20" s="95" t="n">
        <x:f>I20+J20-H20</x:f>
        <x:v>0</x:v>
      </x:c>
      <x:c r="L20" s="91" t="str">
        <x:v>Not Started</x:v>
      </x:c>
    </x:row>
    <x:row r="21">
      <x:c r="A21" s="82" t="n">
        <x:v>17</x:v>
      </x:c>
      <x:c r="B21" s="84" t="str">
        <x:v>Open Purchase Orders</x:v>
      </x:c>
      <x:c r="C21" s="84" t="str">
        <x:v>purchase.order</x:v>
      </x:c>
      <x:c r="D21" s="84" t="str"/>
      <x:c r="E21" s="84" t="str"/>
      <x:c r="F21" s="84" t="str">
        <x:v>Not Started</x:v>
      </x:c>
      <x:c r="G21" s="84" t="str">
        <x:v>Not Started</x:v>
      </x:c>
      <x:c r="H21" s="95" t="n">
        <x:v>0</x:v>
      </x:c>
      <x:c r="I21" s="95" t="n">
        <x:v>0</x:v>
      </x:c>
      <x:c r="J21" s="95" t="n">
        <x:v>0</x:v>
      </x:c>
      <x:c r="K21" s="95" t="n">
        <x:f>I21+J21-H21</x:f>
        <x:v>0</x:v>
      </x:c>
      <x:c r="L21" s="91" t="str">
        <x:v>Not Started</x:v>
      </x:c>
    </x:row>
    <x:row r="22">
      <x:c r="A22" s="82" t="n">
        <x:v>18</x:v>
      </x:c>
      <x:c r="B22" s="84" t="str">
        <x:v>Open Subcontracts</x:v>
      </x:c>
      <x:c r="C22" s="84" t="str">
        <x:v>purchase.order (subcontract)</x:v>
      </x:c>
      <x:c r="D22" s="84" t="str"/>
      <x:c r="E22" s="84" t="str"/>
      <x:c r="F22" s="84" t="str">
        <x:v>Not Started</x:v>
      </x:c>
      <x:c r="G22" s="84" t="str">
        <x:v>Not Started</x:v>
      </x:c>
      <x:c r="H22" s="95" t="n">
        <x:v>0</x:v>
      </x:c>
      <x:c r="I22" s="95" t="n">
        <x:v>0</x:v>
      </x:c>
      <x:c r="J22" s="95" t="n">
        <x:v>0</x:v>
      </x:c>
      <x:c r="K22" s="95" t="n">
        <x:f>I22+J22-H22</x:f>
        <x:v>0</x:v>
      </x:c>
      <x:c r="L22" s="91" t="str">
        <x:v>Not Started</x:v>
      </x:c>
    </x:row>
    <x:row r="23">
      <x:c r="A23" s="82" t="n">
        <x:v>19</x:v>
      </x:c>
      <x:c r="B23" s="84" t="str">
        <x:v>Inventory Balances</x:v>
      </x:c>
      <x:c r="C23" s="84" t="str">
        <x:v>stock inventory adjustment</x:v>
      </x:c>
      <x:c r="D23" s="84" t="str"/>
      <x:c r="E23" s="84" t="str"/>
      <x:c r="F23" s="84" t="str">
        <x:v>Not Started</x:v>
      </x:c>
      <x:c r="G23" s="84" t="str">
        <x:v>Not Started</x:v>
      </x:c>
      <x:c r="H23" s="95" t="n">
        <x:v>0</x:v>
      </x:c>
      <x:c r="I23" s="95" t="n">
        <x:v>0</x:v>
      </x:c>
      <x:c r="J23" s="95" t="n">
        <x:v>0</x:v>
      </x:c>
      <x:c r="K23" s="95" t="n">
        <x:f>I23+J23-H23</x:f>
        <x:v>0</x:v>
      </x:c>
      <x:c r="L23" s="91" t="str">
        <x:v>Not Started</x:v>
      </x:c>
    </x:row>
    <x:row r="24">
      <x:c r="A24" s="82" t="n">
        <x:v>20</x:v>
      </x:c>
      <x:c r="B24" s="84" t="str">
        <x:v>Customer Advances</x:v>
      </x:c>
      <x:c r="C24" s="84" t="str">
        <x:v>account.move / reconciliation</x:v>
      </x:c>
      <x:c r="D24" s="84" t="str"/>
      <x:c r="E24" s="84" t="str"/>
      <x:c r="F24" s="84" t="str">
        <x:v>Not Started</x:v>
      </x:c>
      <x:c r="G24" s="84" t="str">
        <x:v>Not Started</x:v>
      </x:c>
      <x:c r="H24" s="95" t="n">
        <x:v>0</x:v>
      </x:c>
      <x:c r="I24" s="95" t="n">
        <x:v>0</x:v>
      </x:c>
      <x:c r="J24" s="95" t="n">
        <x:v>0</x:v>
      </x:c>
      <x:c r="K24" s="95" t="n">
        <x:f>I24+J24-H24</x:f>
        <x:v>0</x:v>
      </x:c>
      <x:c r="L24" s="91" t="str">
        <x:v>Not Started</x:v>
      </x:c>
    </x:row>
    <x:row r="25">
      <x:c r="A25" s="82" t="n">
        <x:v>21</x:v>
      </x:c>
      <x:c r="B25" s="84" t="str">
        <x:v>Supplier / Subcontract Advances</x:v>
      </x:c>
      <x:c r="C25" s="84" t="str">
        <x:v>account.move / reconciliation</x:v>
      </x:c>
      <x:c r="D25" s="84" t="str"/>
      <x:c r="E25" s="84" t="str"/>
      <x:c r="F25" s="84" t="str">
        <x:v>Not Started</x:v>
      </x:c>
      <x:c r="G25" s="84" t="str">
        <x:v>Not Started</x:v>
      </x:c>
      <x:c r="H25" s="95" t="n">
        <x:v>0</x:v>
      </x:c>
      <x:c r="I25" s="95" t="n">
        <x:v>0</x:v>
      </x:c>
      <x:c r="J25" s="95" t="n">
        <x:v>0</x:v>
      </x:c>
      <x:c r="K25" s="95" t="n">
        <x:f>I25+J25-H25</x:f>
        <x:v>0</x:v>
      </x:c>
      <x:c r="L25" s="91" t="str">
        <x:v>Not Started</x:v>
      </x:c>
    </x:row>
    <x:row r="26">
      <x:c r="A26" s="82" t="n">
        <x:v>22</x:v>
      </x:c>
      <x:c r="B26" s="84" t="str">
        <x:v>Retention Receivable</x:v>
      </x:c>
      <x:c r="C26" s="84" t="str">
        <x:v>opening financial migration</x:v>
      </x:c>
      <x:c r="D26" s="84" t="str"/>
      <x:c r="E26" s="84" t="str"/>
      <x:c r="F26" s="84" t="str">
        <x:v>Not Started</x:v>
      </x:c>
      <x:c r="G26" s="84" t="str">
        <x:v>Not Started</x:v>
      </x:c>
      <x:c r="H26" s="95" t="n">
        <x:v>0</x:v>
      </x:c>
      <x:c r="I26" s="95" t="n">
        <x:v>0</x:v>
      </x:c>
      <x:c r="J26" s="95" t="n">
        <x:v>0</x:v>
      </x:c>
      <x:c r="K26" s="95" t="n">
        <x:f>I26+J26-H26</x:f>
        <x:v>0</x:v>
      </x:c>
      <x:c r="L26" s="91" t="str">
        <x:v>Not Started</x:v>
      </x:c>
    </x:row>
    <x:row r="27">
      <x:c r="A27" s="82" t="n">
        <x:v>23</x:v>
      </x:c>
      <x:c r="B27" s="84" t="str">
        <x:v>Retention Payable</x:v>
      </x:c>
      <x:c r="C27" s="84" t="str">
        <x:v>opening financial migration</x:v>
      </x:c>
      <x:c r="D27" s="84" t="str"/>
      <x:c r="E27" s="84" t="str"/>
      <x:c r="F27" s="84" t="str">
        <x:v>Not Started</x:v>
      </x:c>
      <x:c r="G27" s="84" t="str">
        <x:v>Not Started</x:v>
      </x:c>
      <x:c r="H27" s="95" t="n">
        <x:v>0</x:v>
      </x:c>
      <x:c r="I27" s="95" t="n">
        <x:v>0</x:v>
      </x:c>
      <x:c r="J27" s="95" t="n">
        <x:v>0</x:v>
      </x:c>
      <x:c r="K27" s="95" t="n">
        <x:f>I27+J27-H27</x:f>
        <x:v>0</x:v>
      </x:c>
      <x:c r="L27" s="91" t="str">
        <x:v>Not Started</x:v>
      </x:c>
    </x:row>
    <x:row r="28">
      <x:c r="A28" s="82" t="n">
        <x:v>24</x:v>
      </x:c>
      <x:c r="B28" s="84" t="str">
        <x:v>Guarantees</x:v>
      </x:c>
      <x:c r="C28" s="84" t="str">
        <x:v>mu.construction.guarantee</x:v>
      </x:c>
      <x:c r="D28" s="84" t="str"/>
      <x:c r="E28" s="84" t="str"/>
      <x:c r="F28" s="84" t="str">
        <x:v>Not Started</x:v>
      </x:c>
      <x:c r="G28" s="84" t="str">
        <x:v>Not Started</x:v>
      </x:c>
      <x:c r="H28" s="95" t="n">
        <x:v>0</x:v>
      </x:c>
      <x:c r="I28" s="95" t="n">
        <x:v>0</x:v>
      </x:c>
      <x:c r="J28" s="95" t="n">
        <x:v>0</x:v>
      </x:c>
      <x:c r="K28" s="95" t="n">
        <x:f>I28+J28-H28</x:f>
        <x:v>0</x:v>
      </x:c>
      <x:c r="L28" s="91" t="str">
        <x:v>Not Started</x:v>
      </x:c>
    </x:row>
    <x:row r="29">
      <x:c r="A29" s="82" t="n">
        <x:v>25</x:v>
      </x:c>
      <x:c r="B29" s="84" t="str">
        <x:v>Open IPCs</x:v>
      </x:c>
      <x:c r="C29" s="84" t="str">
        <x:v>mu.construction.client.ipc</x:v>
      </x:c>
      <x:c r="D29" s="84" t="str"/>
      <x:c r="E29" s="84" t="str"/>
      <x:c r="F29" s="84" t="str">
        <x:v>Not Started</x:v>
      </x:c>
      <x:c r="G29" s="84" t="str">
        <x:v>Not Started</x:v>
      </x:c>
      <x:c r="H29" s="95" t="n">
        <x:v>0</x:v>
      </x:c>
      <x:c r="I29" s="95" t="n">
        <x:v>0</x:v>
      </x:c>
      <x:c r="J29" s="95" t="n">
        <x:v>0</x:v>
      </x:c>
      <x:c r="K29" s="95" t="n">
        <x:f>I29+J29-H29</x:f>
        <x:v>0</x:v>
      </x:c>
      <x:c r="L29" s="91" t="str">
        <x:v>Not Started</x:v>
      </x:c>
    </x:row>
    <x:row r="30">
      <x:c r="A30" s="82" t="n">
        <x:v>26</x:v>
      </x:c>
      <x:c r="B30" s="84" t="str">
        <x:v>Open Vendor Bills</x:v>
      </x:c>
      <x:c r="C30" s="84" t="str">
        <x:v>account.move</x:v>
      </x:c>
      <x:c r="D30" s="84" t="str"/>
      <x:c r="E30" s="84" t="str"/>
      <x:c r="F30" s="84" t="str">
        <x:v>Not Started</x:v>
      </x:c>
      <x:c r="G30" s="84" t="str">
        <x:v>Not Started</x:v>
      </x:c>
      <x:c r="H30" s="95" t="n">
        <x:v>0</x:v>
      </x:c>
      <x:c r="I30" s="95" t="n">
        <x:v>0</x:v>
      </x:c>
      <x:c r="J30" s="95" t="n">
        <x:v>0</x:v>
      </x:c>
      <x:c r="K30" s="95" t="n">
        <x:f>I30+J30-H30</x:f>
        <x:v>0</x:v>
      </x:c>
      <x:c r="L30" s="91" t="str">
        <x:v>Not Started</x:v>
      </x:c>
    </x:row>
    <x:row r="31">
      <x:c r="A31" s="82" t="n">
        <x:v>27</x:v>
      </x:c>
      <x:c r="B31" s="84" t="str">
        <x:v>Opening Accounting Balances</x:v>
      </x:c>
      <x:c r="C31" s="84" t="str">
        <x:v>account.move</x:v>
      </x:c>
      <x:c r="D31" s="84" t="str"/>
      <x:c r="E31" s="84" t="str"/>
      <x:c r="F31" s="84" t="str">
        <x:v>Not Started</x:v>
      </x:c>
      <x:c r="G31" s="84" t="str">
        <x:v>Not Started</x:v>
      </x:c>
      <x:c r="H31" s="95" t="n">
        <x:v>0</x:v>
      </x:c>
      <x:c r="I31" s="95" t="n">
        <x:v>0</x:v>
      </x:c>
      <x:c r="J31" s="95" t="n">
        <x:v>0</x:v>
      </x:c>
      <x:c r="K31" s="95" t="n">
        <x:f>I31+J31-H31</x:f>
        <x:v>0</x:v>
      </x:c>
      <x:c r="L31" s="91" t="str">
        <x:v>Not Started</x:v>
      </x:c>
    </x:row>
    <x:row r="32">
      <x:c r="A32" s="86" t="n">
        <x:v>28</x:v>
      </x:c>
      <x:c r="B32" s="87" t="str">
        <x:v>Documents</x:v>
      </x:c>
      <x:c r="C32" s="87" t="str">
        <x:v>documents.document</x:v>
      </x:c>
      <x:c r="D32" s="87" t="str"/>
      <x:c r="E32" s="87" t="str"/>
      <x:c r="F32" s="87" t="str">
        <x:v>Not Started</x:v>
      </x:c>
      <x:c r="G32" s="87" t="str">
        <x:v>Not Started</x:v>
      </x:c>
      <x:c r="H32" s="96" t="n">
        <x:v>0</x:v>
      </x:c>
      <x:c r="I32" s="96" t="n">
        <x:v>0</x:v>
      </x:c>
      <x:c r="J32" s="96" t="n">
        <x:v>0</x:v>
      </x:c>
      <x:c r="K32" s="96" t="n">
        <x:f>I32+J32-H32</x:f>
        <x:v>0</x:v>
      </x:c>
      <x:c r="L32" s="92" t="str">
        <x:v>Not Started</x:v>
      </x:c>
    </x:row>
  </x:sheetData>
  <x:mergeCells>
    <x:mergeCell ref="A1:L1"/>
    <x:mergeCell ref="A2:L2"/>
  </x:mergeCells>
  <x:conditionalFormatting sqref="K5:K32">
    <x:cfRule type="cellIs" dxfId="2" priority="1" operator="notEqual">
      <x:formula>0</x:formula>
    </x:cfRule>
  </x:conditionalFormatting>
  <x:conditionalFormatting sqref="L5:L32">
    <x:cfRule type="containsText" dxfId="3" priority="2" operator="containsText" text="Accepted"/>
  </x:conditionalFormatting>
  <x:dataValidations count="2">
    <x:dataValidation type="list" sqref="F5:G32">
      <x:formula1>"Not Started,In Progress,Ready,Blocked"</x:formula1>
    </x:dataValidation>
    <x:dataValidation type="list" sqref="L5:L32">
      <x:formula1>"Not Started,Rejected,Accepted"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479775faa043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2" hidden="0" customWidth="1"/>
    <x:col min="9" max="9" width="22" hidden="0" customWidth="1"/>
    <x:col min="10" max="10" width="14" hidden="0" customWidth="1"/>
  </x:cols>
  <x:sheetData>
    <x:row r="1" ht="30" customHeight="1">
      <x:c r="A1" s="93" t="str">
        <x:v>Migration Reconciliation</x:v>
      </x:c>
      <x:c r="B1" s="72"/>
      <x:c r="C1" s="72"/>
      <x:c r="D1" s="72"/>
      <x:c r="E1" s="72"/>
      <x:c r="F1" s="72"/>
      <x:c r="G1" s="72"/>
      <x:c r="H1" s="72"/>
      <x:c r="I1" s="72"/>
      <x:c r="J1" s="72"/>
    </x:row>
    <x:row r="2" ht="32" customHeight="1">
      <x:c r="A2" s="73" t="str">
        <x:v>Enter source and Odoo totals after each dry run. Tolerance must be explicitly approved; default is zero.</x:v>
      </x:c>
      <x:c r="B2" s="73"/>
      <x:c r="C2" s="73"/>
      <x:c r="D2" s="73"/>
      <x:c r="E2" s="73"/>
      <x:c r="F2" s="73"/>
      <x:c r="G2" s="73"/>
      <x:c r="H2" s="73"/>
      <x:c r="I2" s="73"/>
      <x:c r="J2" s="73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</x:row>
    <x:row r="4" ht="28" customHeight="1">
      <x:c r="A4" s="75" t="str">
        <x:v>Control</x:v>
      </x:c>
      <x:c r="B4" s="77" t="str">
        <x:v>Source register</x:v>
      </x:c>
      <x:c r="C4" s="77" t="str">
        <x:v>Odoo source of truth</x:v>
      </x:c>
      <x:c r="D4" s="77" t="str">
        <x:v>Source total</x:v>
      </x:c>
      <x:c r="E4" s="77" t="str">
        <x:v>Odoo total</x:v>
      </x:c>
      <x:c r="F4" s="77" t="str">
        <x:v>Tolerance</x:v>
      </x:c>
      <x:c r="G4" s="77" t="str">
        <x:v>Result</x:v>
      </x:c>
      <x:c r="H4" s="77" t="str">
        <x:v>Owner</x:v>
      </x:c>
      <x:c r="I4" s="77" t="str">
        <x:v>Evidence</x:v>
      </x:c>
      <x:c r="J4" s="76" t="str">
        <x:v>Sign-off date</x:v>
      </x:c>
    </x:row>
    <x:row r="5">
      <x:c r="A5" s="78" t="str">
        <x:v>Inventory = GL</x:v>
      </x:c>
      <x:c r="B5" s="80" t="str">
        <x:v>Inventory valuation extract</x:v>
      </x:c>
      <x:c r="C5" s="80" t="str">
        <x:v>Stock Valuation vs Inventory GL</x:v>
      </x:c>
      <x:c r="D5" s="97" t="n">
        <x:v>0</x:v>
      </x:c>
      <x:c r="E5" s="97" t="n">
        <x:v>0</x:v>
      </x:c>
      <x:c r="F5" s="97" t="n">
        <x:v>0</x:v>
      </x:c>
      <x:c r="G5" s="80" t="str">
        <x:f>IF(ABS(E5-D5)&lt;=F5,"PASS","FAIL")</x:f>
        <x:v>PASS</x:v>
      </x:c>
      <x:c r="H5" s="80" t="str"/>
      <x:c r="I5" s="80" t="str"/>
      <x:c r="J5" s="81"/>
    </x:row>
    <x:row r="6">
      <x:c r="A6" s="82" t="str">
        <x:v>AR = Aging</x:v>
      </x:c>
      <x:c r="B6" s="84" t="str">
        <x:v>Customer aging</x:v>
      </x:c>
      <x:c r="C6" s="84" t="str">
        <x:v>Receivable ledger / aging</x:v>
      </x:c>
      <x:c r="D6" s="98" t="n">
        <x:v>0</x:v>
      </x:c>
      <x:c r="E6" s="98" t="n">
        <x:v>0</x:v>
      </x:c>
      <x:c r="F6" s="98" t="n">
        <x:v>0</x:v>
      </x:c>
      <x:c r="G6" s="84" t="str">
        <x:f>IF(ABS(E6-D6)&lt;=F6,"PASS","FAIL")</x:f>
        <x:v>PASS</x:v>
      </x:c>
      <x:c r="H6" s="84" t="str"/>
      <x:c r="I6" s="84" t="str"/>
      <x:c r="J6" s="85"/>
    </x:row>
    <x:row r="7">
      <x:c r="A7" s="82" t="str">
        <x:v>AP = Aging</x:v>
      </x:c>
      <x:c r="B7" s="84" t="str">
        <x:v>Supplier aging</x:v>
      </x:c>
      <x:c r="C7" s="84" t="str">
        <x:v>Payable ledger / aging</x:v>
      </x:c>
      <x:c r="D7" s="98" t="n">
        <x:v>0</x:v>
      </x:c>
      <x:c r="E7" s="98" t="n">
        <x:v>0</x:v>
      </x:c>
      <x:c r="F7" s="98" t="n">
        <x:v>0</x:v>
      </x:c>
      <x:c r="G7" s="84" t="str">
        <x:f>IF(ABS(E7-D7)&lt;=F7,"PASS","FAIL")</x:f>
        <x:v>PASS</x:v>
      </x:c>
      <x:c r="H7" s="84" t="str"/>
      <x:c r="I7" s="84" t="str"/>
      <x:c r="J7" s="85"/>
    </x:row>
    <x:row r="8">
      <x:c r="A8" s="82" t="str">
        <x:v>Retention Receivable</x:v>
      </x:c>
      <x:c r="B8" s="84" t="str">
        <x:v>Contract retention register</x:v>
      </x:c>
      <x:c r="C8" s="84" t="str">
        <x:v>IPC deductions / receivable</x:v>
      </x:c>
      <x:c r="D8" s="98" t="n">
        <x:v>0</x:v>
      </x:c>
      <x:c r="E8" s="98" t="n">
        <x:v>0</x:v>
      </x:c>
      <x:c r="F8" s="98" t="n">
        <x:v>0</x:v>
      </x:c>
      <x:c r="G8" s="84" t="str">
        <x:f>IF(ABS(E8-D8)&lt;=F8,"PASS","FAIL")</x:f>
        <x:v>PASS</x:v>
      </x:c>
      <x:c r="H8" s="84" t="str"/>
      <x:c r="I8" s="84" t="str"/>
      <x:c r="J8" s="85"/>
    </x:row>
    <x:row r="9">
      <x:c r="A9" s="82" t="str">
        <x:v>Retention Payable</x:v>
      </x:c>
      <x:c r="B9" s="84" t="str">
        <x:v>Subcontract retention register</x:v>
      </x:c>
      <x:c r="C9" s="84" t="str">
        <x:v>Certificate deductions / payable</x:v>
      </x:c>
      <x:c r="D9" s="98" t="n">
        <x:v>0</x:v>
      </x:c>
      <x:c r="E9" s="98" t="n">
        <x:v>0</x:v>
      </x:c>
      <x:c r="F9" s="98" t="n">
        <x:v>0</x:v>
      </x:c>
      <x:c r="G9" s="84" t="str">
        <x:f>IF(ABS(E9-D9)&lt;=F9,"PASS","FAIL")</x:f>
        <x:v>PASS</x:v>
      </x:c>
      <x:c r="H9" s="84" t="str"/>
      <x:c r="I9" s="84" t="str"/>
      <x:c r="J9" s="85"/>
    </x:row>
    <x:row r="10">
      <x:c r="A10" s="82" t="str">
        <x:v>Advances</x:v>
      </x:c>
      <x:c r="B10" s="84" t="str">
        <x:v>Advance registers</x:v>
      </x:c>
      <x:c r="C10" s="84" t="str">
        <x:v>Advance accounts and contracts</x:v>
      </x:c>
      <x:c r="D10" s="98" t="n">
        <x:v>0</x:v>
      </x:c>
      <x:c r="E10" s="98" t="n">
        <x:v>0</x:v>
      </x:c>
      <x:c r="F10" s="98" t="n">
        <x:v>0</x:v>
      </x:c>
      <x:c r="G10" s="84" t="str">
        <x:f>IF(ABS(E10-D10)&lt;=F10,"PASS","FAIL")</x:f>
        <x:v>PASS</x:v>
      </x:c>
      <x:c r="H10" s="84" t="str"/>
      <x:c r="I10" s="84" t="str"/>
      <x:c r="J10" s="85"/>
    </x:row>
    <x:row r="11">
      <x:c r="A11" s="82" t="str">
        <x:v>Project Actuals</x:v>
      </x:c>
      <x:c r="B11" s="84" t="str">
        <x:v>Legacy project cost</x:v>
      </x:c>
      <x:c r="C11" s="84" t="str">
        <x:v>Analytic ledger</x:v>
      </x:c>
      <x:c r="D11" s="98" t="n">
        <x:v>0</x:v>
      </x:c>
      <x:c r="E11" s="98" t="n">
        <x:v>0</x:v>
      </x:c>
      <x:c r="F11" s="98" t="n">
        <x:v>0</x:v>
      </x:c>
      <x:c r="G11" s="84" t="str">
        <x:f>IF(ABS(E11-D11)&lt;=F11,"PASS","FAIL")</x:f>
        <x:v>PASS</x:v>
      </x:c>
      <x:c r="H11" s="84" t="str"/>
      <x:c r="I11" s="84" t="str"/>
      <x:c r="J11" s="85"/>
    </x:row>
    <x:row r="12">
      <x:c r="A12" s="82" t="str">
        <x:v>Open Commitments</x:v>
      </x:c>
      <x:c r="B12" s="84" t="str">
        <x:v>Open PO / subcontract</x:v>
      </x:c>
      <x:c r="C12" s="84" t="str">
        <x:v>Remaining commitments</x:v>
      </x:c>
      <x:c r="D12" s="98" t="n">
        <x:v>0</x:v>
      </x:c>
      <x:c r="E12" s="98" t="n">
        <x:v>0</x:v>
      </x:c>
      <x:c r="F12" s="98" t="n">
        <x:v>0</x:v>
      </x:c>
      <x:c r="G12" s="84" t="str">
        <x:f>IF(ABS(E12-D12)&lt;=F12,"PASS","FAIL")</x:f>
        <x:v>PASS</x:v>
      </x:c>
      <x:c r="H12" s="84" t="str"/>
      <x:c r="I12" s="84" t="str"/>
      <x:c r="J12" s="85"/>
    </x:row>
    <x:row r="13">
      <x:c r="A13" s="82" t="str">
        <x:v>Certified</x:v>
      </x:c>
      <x:c r="B13" s="84" t="str">
        <x:v>IPC register</x:v>
      </x:c>
      <x:c r="C13" s="84" t="str">
        <x:v>Certified IPCs</x:v>
      </x:c>
      <x:c r="D13" s="98" t="n">
        <x:v>0</x:v>
      </x:c>
      <x:c r="E13" s="98" t="n">
        <x:v>0</x:v>
      </x:c>
      <x:c r="F13" s="98" t="n">
        <x:v>0</x:v>
      </x:c>
      <x:c r="G13" s="84" t="str">
        <x:f>IF(ABS(E13-D13)&lt;=F13,"PASS","FAIL")</x:f>
        <x:v>PASS</x:v>
      </x:c>
      <x:c r="H13" s="84" t="str"/>
      <x:c r="I13" s="84" t="str"/>
      <x:c r="J13" s="85"/>
    </x:row>
    <x:row r="14">
      <x:c r="A14" s="86" t="str">
        <x:v>Billed / Collected</x:v>
      </x:c>
      <x:c r="B14" s="87" t="str">
        <x:v>Invoice and receipt registers</x:v>
      </x:c>
      <x:c r="C14" s="87" t="str">
        <x:v>Invoices and reconciled payments</x:v>
      </x:c>
      <x:c r="D14" s="99" t="n">
        <x:v>0</x:v>
      </x:c>
      <x:c r="E14" s="99" t="n">
        <x:v>0</x:v>
      </x:c>
      <x:c r="F14" s="99" t="n">
        <x:v>0</x:v>
      </x:c>
      <x:c r="G14" s="87" t="str">
        <x:f>IF(ABS(E14-D14)&lt;=F14,"PASS","FAIL")</x:f>
        <x:v>PASS</x:v>
      </x:c>
      <x:c r="H14" s="87" t="str"/>
      <x:c r="I14" s="87" t="str"/>
      <x:c r="J14" s="88"/>
    </x:row>
  </x:sheetData>
  <x:mergeCells>
    <x:mergeCell ref="A1:J1"/>
    <x:mergeCell ref="A2:J2"/>
  </x:mergeCells>
  <x:conditionalFormatting sqref="G5:G14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56" hidden="0" customWidth="1"/>
    <x:col min="4" max="4" width="20" hidden="0" customWidth="1"/>
    <x:col min="5" max="5" width="20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93" t="str">
        <x:v>Golden UAT Scenarios</x:v>
      </x:c>
      <x:c r="B1" s="72"/>
      <x:c r="C1" s="72"/>
      <x:c r="D1" s="72"/>
      <x:c r="E1" s="72"/>
      <x:c r="F1" s="72"/>
      <x:c r="G1" s="72"/>
      <x:c r="H1" s="72"/>
      <x:c r="I1" s="72"/>
      <x:c r="J1" s="72"/>
    </x:row>
    <x:row r="2" ht="32" customHeight="1">
      <x:c r="A2" s="73" t="str">
        <x:v>Execute on named pilot users with evidence. Financial posting steps remain manual and require Finance authorization.</x:v>
      </x:c>
      <x:c r="B2" s="73"/>
      <x:c r="C2" s="73"/>
      <x:c r="D2" s="73"/>
      <x:c r="E2" s="73"/>
      <x:c r="F2" s="73"/>
      <x:c r="G2" s="73"/>
      <x:c r="H2" s="73"/>
      <x:c r="I2" s="73"/>
      <x:c r="J2" s="73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</x:row>
    <x:row r="4" ht="28" customHeight="1">
      <x:c r="A4" s="75" t="str">
        <x:v>ID</x:v>
      </x:c>
      <x:c r="B4" s="77" t="str">
        <x:v>Scenario</x:v>
      </x:c>
      <x:c r="C4" s="77" t="str">
        <x:v>Scope</x:v>
      </x:c>
      <x:c r="D4" s="77" t="str">
        <x:v>Business owner</x:v>
      </x:c>
      <x:c r="E4" s="77" t="str">
        <x:v>Tester</x:v>
      </x:c>
      <x:c r="F4" s="77" t="str">
        <x:v>Evidence link / reference</x:v>
      </x:c>
      <x:c r="G4" s="77" t="str">
        <x:v>Defect ID</x:v>
      </x:c>
      <x:c r="H4" s="77" t="str">
        <x:v>Status</x:v>
      </x:c>
      <x:c r="I4" s="77" t="str">
        <x:v>Sign-off date</x:v>
      </x:c>
      <x:c r="J4" s="76" t="str">
        <x:v>Notes</x:v>
      </x:c>
    </x:row>
    <x:row r="5">
      <x:c r="A5" s="78" t="str">
        <x:v>GS-01</x:v>
      </x:c>
      <x:c r="B5" s="80" t="str">
        <x:v>Tender to Award</x:v>
      </x:c>
      <x:c r="C5" s="80" t="str">
        <x:v>Lead → Tender → BOQ → Estimate → Bid Approval → Award → Project Bootstrap</x:v>
      </x:c>
      <x:c r="D5" s="80" t="str"/>
      <x:c r="E5" s="80" t="str"/>
      <x:c r="F5" s="80" t="str"/>
      <x:c r="G5" s="80" t="str"/>
      <x:c r="H5" s="80" t="str">
        <x:v>Not Started</x:v>
      </x:c>
      <x:c r="I5" s="100"/>
      <x:c r="J5" s="90" t="str"/>
    </x:row>
    <x:row r="6">
      <x:c r="A6" s="82" t="str">
        <x:v>GS-02</x:v>
      </x:c>
      <x:c r="B6" s="84" t="str">
        <x:v>Procure to Consume</x:v>
      </x:c>
      <x:c r="C6" s="84" t="str">
        <x:v>MR / stock check → RFQ → PO → Receipt → MIR → Issue → Consumption → Bill / payment control</x:v>
      </x:c>
      <x:c r="D6" s="84" t="str"/>
      <x:c r="E6" s="84" t="str"/>
      <x:c r="F6" s="84" t="str"/>
      <x:c r="G6" s="84" t="str"/>
      <x:c r="H6" s="84" t="str">
        <x:v>Not Started</x:v>
      </x:c>
      <x:c r="I6" s="101"/>
      <x:c r="J6" s="91" t="str"/>
    </x:row>
    <x:row r="7">
      <x:c r="A7" s="82" t="str">
        <x:v>GS-03</x:v>
      </x:c>
      <x:c r="B7" s="84" t="str">
        <x:v>Subcontract to Pay</x:v>
      </x:c>
      <x:c r="C7" s="84" t="str">
        <x:v>Subcontract BOQ → Advance → Measurement → Certificate → Retention / recovery → Draft Bill → Release</x:v>
      </x:c>
      <x:c r="D7" s="84" t="str"/>
      <x:c r="E7" s="84" t="str"/>
      <x:c r="F7" s="84" t="str"/>
      <x:c r="G7" s="84" t="str"/>
      <x:c r="H7" s="84" t="str">
        <x:v>Not Started</x:v>
      </x:c>
      <x:c r="I7" s="101"/>
      <x:c r="J7" s="91" t="str"/>
    </x:row>
    <x:row r="8">
      <x:c r="A8" s="82" t="str">
        <x:v>GS-04</x:v>
      </x:c>
      <x:c r="B8" s="84" t="str">
        <x:v>Measure to Cash</x:v>
      </x:c>
      <x:c r="C8" s="84" t="str">
        <x:v>WIR → Measurement → IPC → Deductions → Draft Invoice → ETA readiness → Collection tracking</x:v>
      </x:c>
      <x:c r="D8" s="84" t="str"/>
      <x:c r="E8" s="84" t="str"/>
      <x:c r="F8" s="84" t="str"/>
      <x:c r="G8" s="84" t="str"/>
      <x:c r="H8" s="84" t="str">
        <x:v>Not Started</x:v>
      </x:c>
      <x:c r="I8" s="101"/>
      <x:c r="J8" s="91" t="str"/>
    </x:row>
    <x:row r="9">
      <x:c r="A9" s="82" t="str">
        <x:v>GS-05</x:v>
      </x:c>
      <x:c r="B9" s="84" t="str">
        <x:v>Variation / Claim / EOT</x:v>
      </x:c>
      <x:c r="C9" s="84" t="str">
        <x:v>RFI → Potential Change → Notice → Estimate → Approval → Contract / budget update</x:v>
      </x:c>
      <x:c r="D9" s="84" t="str"/>
      <x:c r="E9" s="84" t="str"/>
      <x:c r="F9" s="84" t="str"/>
      <x:c r="G9" s="84" t="str"/>
      <x:c r="H9" s="84" t="str">
        <x:v>Not Started</x:v>
      </x:c>
      <x:c r="I9" s="101"/>
      <x:c r="J9" s="91" t="str"/>
    </x:row>
    <x:row r="10">
      <x:c r="A10" s="86" t="str">
        <x:v>GS-06</x:v>
      </x:c>
      <x:c r="B10" s="87" t="str">
        <x:v>Monthly Close and Closeout</x:v>
      </x:c>
      <x:c r="C10" s="87" t="str">
        <x:v>Commitment / Actual / Accrual → ETC/EAC/WIP → Dashboard → Handover → DLP → Final Account</x:v>
      </x:c>
      <x:c r="D10" s="87" t="str"/>
      <x:c r="E10" s="87" t="str"/>
      <x:c r="F10" s="87" t="str"/>
      <x:c r="G10" s="87" t="str"/>
      <x:c r="H10" s="87" t="str">
        <x:v>Not Started</x:v>
      </x:c>
      <x:c r="I10" s="102"/>
      <x:c r="J10" s="92" t="str"/>
    </x:row>
  </x:sheetData>
  <x:mergeCells>
    <x:mergeCell ref="A1:J1"/>
    <x:mergeCell ref="A2:J2"/>
  </x:mergeCells>
  <x:conditionalFormatting sqref="H5:H10">
    <x:cfRule type="containsText" dxfId="6" priority="1" operator="containsText" text="Passed"/>
    <x:cfRule type="containsText" dxfId="7" priority="2" operator="containsText" text="Failed"/>
  </x:conditionalFormatting>
  <x:dataValidations count="1">
    <x:dataValidation type="list" sqref="H5:H10">
      <x:formula1>"Not Started,In Progress,Blocked,Failed,Passed"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8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34" hidden="0" customWidth="1"/>
    <x:col min="8" max="8" width="34" hidden="0" customWidth="1"/>
  </x:cols>
  <x:sheetData>
    <x:row r="1" ht="30" customHeight="1">
      <x:c r="A1" s="93" t="str">
        <x:v>Controlled Cutover Checklist</x:v>
      </x:c>
      <x:c r="B1" s="72"/>
      <x:c r="C1" s="72"/>
      <x:c r="D1" s="72"/>
      <x:c r="E1" s="72"/>
      <x:c r="F1" s="72"/>
      <x:c r="G1" s="72"/>
      <x:c r="H1" s="72"/>
    </x:row>
    <x:row r="2" ht="32" customHeight="1">
      <x:c r="A2" s="73" t="str">
        <x:v>Go/No-Go is blocked until every mandatory gate is Complete and evidence is attached.</x:v>
      </x:c>
      <x:c r="B2" s="73"/>
      <x:c r="C2" s="73"/>
      <x:c r="D2" s="73"/>
      <x:c r="E2" s="73"/>
      <x:c r="F2" s="73"/>
      <x:c r="G2" s="73"/>
      <x:c r="H2" s="73"/>
    </x:row>
    <x:row r="3">
      <x:c r="A3" s="74"/>
      <x:c r="B3" s="74"/>
      <x:c r="C3" s="74"/>
      <x:c r="D3" s="74"/>
      <x:c r="E3" s="74"/>
      <x:c r="F3" s="74"/>
      <x:c r="G3" s="74"/>
      <x:c r="H3" s="74"/>
    </x:row>
    <x:row r="4" ht="28" customHeight="1">
      <x:c r="A4" s="75" t="str">
        <x:v>Seq</x:v>
      </x:c>
      <x:c r="B4" s="77" t="str">
        <x:v>Gate / activity</x:v>
      </x:c>
      <x:c r="C4" s="77" t="str">
        <x:v>Environment</x:v>
      </x:c>
      <x:c r="D4" s="77" t="str">
        <x:v>Owner</x:v>
      </x:c>
      <x:c r="E4" s="77" t="str">
        <x:v>Mandatory</x:v>
      </x:c>
      <x:c r="F4" s="77" t="str">
        <x:v>Status</x:v>
      </x:c>
      <x:c r="G4" s="77" t="str">
        <x:v>Evidence / reference</x:v>
      </x:c>
      <x:c r="H4" s="76" t="str">
        <x:v>Rollback trigger</x:v>
      </x:c>
    </x:row>
    <x:row r="5">
      <x:c r="A5" s="78" t="n">
        <x:v>1</x:v>
      </x:c>
      <x:c r="B5" s="80" t="str">
        <x:v>Staging clone refreshed</x:v>
      </x:c>
      <x:c r="C5" s="80" t="str">
        <x:v>Staging</x:v>
      </x:c>
      <x:c r="D5" s="80" t="str">
        <x:v>Technical Lead</x:v>
      </x:c>
      <x:c r="E5" s="80" t="str">
        <x:v>Yes</x:v>
      </x:c>
      <x:c r="F5" s="80" t="str">
        <x:v>Not Started</x:v>
      </x:c>
      <x:c r="G5" s="80" t="str"/>
      <x:c r="H5" s="90" t="str"/>
    </x:row>
    <x:row r="6">
      <x:c r="A6" s="82" t="n">
        <x:v>2</x:v>
      </x:c>
      <x:c r="B6" s="84" t="str">
        <x:v>Approved configuration baseline applied</x:v>
      </x:c>
      <x:c r="C6" s="84" t="str">
        <x:v>Staging</x:v>
      </x:c>
      <x:c r="D6" s="84" t="str">
        <x:v>Functional Lead</x:v>
      </x:c>
      <x:c r="E6" s="84" t="str">
        <x:v>Yes</x:v>
      </x:c>
      <x:c r="F6" s="84" t="str">
        <x:v>Not Started</x:v>
      </x:c>
      <x:c r="G6" s="84" t="str"/>
      <x:c r="H6" s="91" t="str"/>
    </x:row>
    <x:row r="7">
      <x:c r="A7" s="82" t="n">
        <x:v>3</x:v>
      </x:c>
      <x:c r="B7" s="84" t="str">
        <x:v>All custom modules tested</x:v>
      </x:c>
      <x:c r="C7" s="84" t="str">
        <x:v>Development / Staging</x:v>
      </x:c>
      <x:c r="D7" s="84" t="str">
        <x:v>Technical Lead</x:v>
      </x:c>
      <x:c r="E7" s="84" t="str">
        <x:v>Yes</x:v>
      </x:c>
      <x:c r="F7" s="84" t="str">
        <x:v>Not Started</x:v>
      </x:c>
      <x:c r="G7" s="84" t="str"/>
      <x:c r="H7" s="91" t="str"/>
    </x:row>
    <x:row r="8">
      <x:c r="A8" s="82" t="n">
        <x:v>4</x:v>
      </x:c>
      <x:c r="B8" s="84" t="str">
        <x:v>Functional UAT signed</x:v>
      </x:c>
      <x:c r="C8" s="84" t="str">
        <x:v>Staging</x:v>
      </x:c>
      <x:c r="D8" s="84" t="str">
        <x:v>Process Owners</x:v>
      </x:c>
      <x:c r="E8" s="84" t="str">
        <x:v>Yes</x:v>
      </x:c>
      <x:c r="F8" s="84" t="str">
        <x:v>Not Started</x:v>
      </x:c>
      <x:c r="G8" s="84" t="str"/>
      <x:c r="H8" s="91" t="str"/>
    </x:row>
    <x:row r="9">
      <x:c r="A9" s="82" t="n">
        <x:v>5</x:v>
      </x:c>
      <x:c r="B9" s="84" t="str">
        <x:v>Pilot project completed</x:v>
      </x:c>
      <x:c r="C9" s="84" t="str">
        <x:v>Staging</x:v>
      </x:c>
      <x:c r="D9" s="84" t="str">
        <x:v>Project Sponsor</x:v>
      </x:c>
      <x:c r="E9" s="84" t="str">
        <x:v>Yes</x:v>
      </x:c>
      <x:c r="F9" s="84" t="str">
        <x:v>Not Started</x:v>
      </x:c>
      <x:c r="G9" s="84" t="str"/>
      <x:c r="H9" s="91" t="str"/>
    </x:row>
    <x:row r="10">
      <x:c r="A10" s="82" t="n">
        <x:v>6</x:v>
      </x:c>
      <x:c r="B10" s="84" t="str">
        <x:v>Parallel run reconciled</x:v>
      </x:c>
      <x:c r="C10" s="84" t="str">
        <x:v>Staging</x:v>
      </x:c>
      <x:c r="D10" s="84" t="str">
        <x:v>Finance / Operations</x:v>
      </x:c>
      <x:c r="E10" s="84" t="str">
        <x:v>Yes</x:v>
      </x:c>
      <x:c r="F10" s="84" t="str">
        <x:v>Not Started</x:v>
      </x:c>
      <x:c r="G10" s="84" t="str"/>
      <x:c r="H10" s="91" t="str"/>
    </x:row>
    <x:row r="11">
      <x:c r="A11" s="82" t="n">
        <x:v>7</x:v>
      </x:c>
      <x:c r="B11" s="84" t="str">
        <x:v>Security and SoD approved</x:v>
      </x:c>
      <x:c r="C11" s="84" t="str">
        <x:v>Staging</x:v>
      </x:c>
      <x:c r="D11" s="84" t="str">
        <x:v>Security Owner</x:v>
      </x:c>
      <x:c r="E11" s="84" t="str">
        <x:v>Yes</x:v>
      </x:c>
      <x:c r="F11" s="84" t="str">
        <x:v>Not Started</x:v>
      </x:c>
      <x:c r="G11" s="84" t="str"/>
      <x:c r="H11" s="91" t="str"/>
    </x:row>
    <x:row r="12">
      <x:c r="A12" s="82" t="n">
        <x:v>8</x:v>
      </x:c>
      <x:c r="B12" s="84" t="str">
        <x:v>Arabic / RTL and reports accepted</x:v>
      </x:c>
      <x:c r="C12" s="84" t="str">
        <x:v>Staging</x:v>
      </x:c>
      <x:c r="D12" s="84" t="str">
        <x:v>Business Owners</x:v>
      </x:c>
      <x:c r="E12" s="84" t="str">
        <x:v>Yes</x:v>
      </x:c>
      <x:c r="F12" s="84" t="str">
        <x:v>Not Started</x:v>
      </x:c>
      <x:c r="G12" s="84" t="str"/>
      <x:c r="H12" s="91" t="str"/>
    </x:row>
    <x:row r="13">
      <x:c r="A13" s="82" t="n">
        <x:v>9</x:v>
      </x:c>
      <x:c r="B13" s="84" t="str">
        <x:v>Migration dry run accepted</x:v>
      </x:c>
      <x:c r="C13" s="84" t="str">
        <x:v>Staging</x:v>
      </x:c>
      <x:c r="D13" s="84" t="str">
        <x:v>Migration Lead</x:v>
      </x:c>
      <x:c r="E13" s="84" t="str">
        <x:v>Yes</x:v>
      </x:c>
      <x:c r="F13" s="84" t="str">
        <x:v>Not Started</x:v>
      </x:c>
      <x:c r="G13" s="84" t="str"/>
      <x:c r="H13" s="91" t="str"/>
    </x:row>
    <x:row r="14">
      <x:c r="A14" s="82" t="n">
        <x:v>10</x:v>
      </x:c>
      <x:c r="B14" s="84" t="str">
        <x:v>Production backup verified</x:v>
      </x:c>
      <x:c r="C14" s="84" t="str">
        <x:v>Production</x:v>
      </x:c>
      <x:c r="D14" s="84" t="str">
        <x:v>Odoo.sh Owner</x:v>
      </x:c>
      <x:c r="E14" s="84" t="str">
        <x:v>Yes</x:v>
      </x:c>
      <x:c r="F14" s="84" t="str">
        <x:v>Not Started</x:v>
      </x:c>
      <x:c r="G14" s="84" t="str"/>
      <x:c r="H14" s="91" t="str"/>
    </x:row>
    <x:row r="15">
      <x:c r="A15" s="82" t="n">
        <x:v>11</x:v>
      </x:c>
      <x:c r="B15" s="84" t="str">
        <x:v>Go / No-Go approval recorded</x:v>
      </x:c>
      <x:c r="C15" s="84" t="str">
        <x:v>Governance</x:v>
      </x:c>
      <x:c r="D15" s="84" t="str">
        <x:v>Executive Sponsor</x:v>
      </x:c>
      <x:c r="E15" s="84" t="str">
        <x:v>Yes</x:v>
      </x:c>
      <x:c r="F15" s="84" t="str">
        <x:v>Not Started</x:v>
      </x:c>
      <x:c r="G15" s="84" t="str"/>
      <x:c r="H15" s="91" t="str"/>
    </x:row>
    <x:row r="16">
      <x:c r="A16" s="82" t="n">
        <x:v>12</x:v>
      </x:c>
      <x:c r="B16" s="84" t="str">
        <x:v>Controlled module deployment</x:v>
      </x:c>
      <x:c r="C16" s="84" t="str">
        <x:v>Production</x:v>
      </x:c>
      <x:c r="D16" s="84" t="str">
        <x:v>Technical Lead</x:v>
      </x:c>
      <x:c r="E16" s="84" t="str">
        <x:v>Yes</x:v>
      </x:c>
      <x:c r="F16" s="84" t="str">
        <x:v>Not Started</x:v>
      </x:c>
      <x:c r="G16" s="84" t="str"/>
      <x:c r="H16" s="91" t="str"/>
    </x:row>
    <x:row r="17">
      <x:c r="A17" s="82" t="n">
        <x:v>13</x:v>
      </x:c>
      <x:c r="B17" s="84" t="str">
        <x:v>Opening data migration</x:v>
      </x:c>
      <x:c r="C17" s="84" t="str">
        <x:v>Production</x:v>
      </x:c>
      <x:c r="D17" s="84" t="str">
        <x:v>Migration / Finance</x:v>
      </x:c>
      <x:c r="E17" s="84" t="str">
        <x:v>Yes</x:v>
      </x:c>
      <x:c r="F17" s="84" t="str">
        <x:v>Not Started</x:v>
      </x:c>
      <x:c r="G17" s="84" t="str"/>
      <x:c r="H17" s="91" t="str"/>
    </x:row>
    <x:row r="18">
      <x:c r="A18" s="82" t="n">
        <x:v>14</x:v>
      </x:c>
      <x:c r="B18" s="84" t="str">
        <x:v>Smoke test and reconciliation</x:v>
      </x:c>
      <x:c r="C18" s="84" t="str">
        <x:v>Production</x:v>
      </x:c>
      <x:c r="D18" s="84" t="str">
        <x:v>UAT Leads</x:v>
      </x:c>
      <x:c r="E18" s="84" t="str">
        <x:v>Yes</x:v>
      </x:c>
      <x:c r="F18" s="84" t="str">
        <x:v>Not Started</x:v>
      </x:c>
      <x:c r="G18" s="84" t="str"/>
      <x:c r="H18" s="91" t="str"/>
    </x:row>
    <x:row r="19">
      <x:c r="A19" s="82" t="n">
        <x:v>15</x:v>
      </x:c>
      <x:c r="B19" s="84" t="str">
        <x:v>Hypercare opened</x:v>
      </x:c>
      <x:c r="C19" s="84" t="str">
        <x:v>Production</x:v>
      </x:c>
      <x:c r="D19" s="84" t="str">
        <x:v>Support Lead</x:v>
      </x:c>
      <x:c r="E19" s="84" t="str">
        <x:v>Yes</x:v>
      </x:c>
      <x:c r="F19" s="84" t="str">
        <x:v>Not Started</x:v>
      </x:c>
      <x:c r="G19" s="84" t="str"/>
      <x:c r="H19" s="91" t="str"/>
    </x:row>
    <x:row r="20">
      <x:c r="A20" s="86" t="n">
        <x:v>16</x:v>
      </x:c>
      <x:c r="B20" s="87" t="str">
        <x:v>Post-go-live review</x:v>
      </x:c>
      <x:c r="C20" s="87" t="str">
        <x:v>Production</x:v>
      </x:c>
      <x:c r="D20" s="87" t="str">
        <x:v>Steering Committee</x:v>
      </x:c>
      <x:c r="E20" s="87" t="str">
        <x:v>Yes</x:v>
      </x:c>
      <x:c r="F20" s="87" t="str">
        <x:v>Not Started</x:v>
      </x:c>
      <x:c r="G20" s="87" t="str"/>
      <x:c r="H20" s="92" t="str"/>
    </x:row>
  </x:sheetData>
  <x:mergeCells>
    <x:mergeCell ref="A1:H1"/>
    <x:mergeCell ref="A2:H2"/>
  </x:mergeCells>
  <x:conditionalFormatting sqref="F5:F20">
    <x:cfRule type="containsText" dxfId="8" priority="1" operator="containsText" text="Complete"/>
    <x:cfRule type="containsText" dxfId="9" priority="2" operator="containsText" text="Blocked"/>
  </x:conditionalFormatting>
  <x:dataValidations count="1">
    <x:dataValidation type="list" sqref="F5:F20">
      <x:formula1>"Not Started,In Progress,Complete,Blocked,Rollback"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93" t="str">
        <x:v>Master Data Import Staging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</x:row>
    <x:row r="2" ht="32" customHeight="1">
      <x:c r="A2" s="73" t="str">
        <x:v>Use stable external IDs and company/project codes. This sheet is a staging template, not a direct import authorization.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</x:row>
    <x:row r="4" ht="28" customHeight="1">
      <x:c r="A4" s="75" t="str">
        <x:v>Object type</x:v>
      </x:c>
      <x:c r="B4" s="77" t="str">
        <x:v>External ID</x:v>
      </x:c>
      <x:c r="C4" s="77" t="str">
        <x:v>Company code</x:v>
      </x:c>
      <x:c r="D4" s="77" t="str">
        <x:v>Record code</x:v>
      </x:c>
      <x:c r="E4" s="77" t="str">
        <x:v>Name</x:v>
      </x:c>
      <x:c r="F4" s="77" t="str">
        <x:v>Parent external ID</x:v>
      </x:c>
      <x:c r="G4" s="77" t="str">
        <x:v>Currency</x:v>
      </x:c>
      <x:c r="H4" s="77" t="str">
        <x:v>Language</x:v>
      </x:c>
      <x:c r="I4" s="77" t="str">
        <x:v>Effective from</x:v>
      </x:c>
      <x:c r="J4" s="77" t="str">
        <x:v>Effective to</x:v>
      </x:c>
      <x:c r="K4" s="77" t="str">
        <x:v>Active</x:v>
      </x:c>
      <x:c r="L4" s="77" t="str">
        <x:v>Source reference</x:v>
      </x:c>
      <x:c r="M4" s="76" t="str">
        <x:v>Validation status</x:v>
      </x:c>
    </x:row>
    <x:row r="5">
      <x:c r="A5" s="78" t="str"/>
      <x:c r="B5" s="80" t="str"/>
      <x:c r="C5" s="80" t="str"/>
      <x:c r="D5" s="80" t="str"/>
      <x:c r="E5" s="80" t="str"/>
      <x:c r="F5" s="80" t="str"/>
      <x:c r="G5" s="80" t="str"/>
      <x:c r="H5" s="80" t="str"/>
      <x:c r="I5" s="100"/>
      <x:c r="J5" s="100"/>
      <x:c r="K5" s="103" t="b">
        <x:v>1</x:v>
      </x:c>
      <x:c r="L5" s="80" t="str"/>
      <x:c r="M5" s="90" t="str">
        <x:v>Not Checked</x:v>
      </x:c>
    </x:row>
    <x:row r="6">
      <x:c r="A6" s="82" t="str"/>
      <x:c r="B6" s="84" t="str"/>
      <x:c r="C6" s="84" t="str"/>
      <x:c r="D6" s="84" t="str"/>
      <x:c r="E6" s="84" t="str"/>
      <x:c r="F6" s="84" t="str"/>
      <x:c r="G6" s="84" t="str"/>
      <x:c r="H6" s="84" t="str"/>
      <x:c r="I6" s="101"/>
      <x:c r="J6" s="101"/>
      <x:c r="K6" s="104" t="b">
        <x:v>1</x:v>
      </x:c>
      <x:c r="L6" s="84" t="str"/>
      <x:c r="M6" s="91" t="str">
        <x:v>Not Checked</x:v>
      </x:c>
    </x:row>
    <x:row r="7">
      <x:c r="A7" s="82" t="str"/>
      <x:c r="B7" s="84" t="str"/>
      <x:c r="C7" s="84" t="str"/>
      <x:c r="D7" s="84" t="str"/>
      <x:c r="E7" s="84" t="str"/>
      <x:c r="F7" s="84" t="str"/>
      <x:c r="G7" s="84" t="str"/>
      <x:c r="H7" s="84" t="str"/>
      <x:c r="I7" s="101"/>
      <x:c r="J7" s="101"/>
      <x:c r="K7" s="104" t="b">
        <x:v>1</x:v>
      </x:c>
      <x:c r="L7" s="84" t="str"/>
      <x:c r="M7" s="91" t="str">
        <x:v>Not Checked</x:v>
      </x:c>
    </x:row>
    <x:row r="8">
      <x:c r="A8" s="82" t="str"/>
      <x:c r="B8" s="84" t="str"/>
      <x:c r="C8" s="84" t="str"/>
      <x:c r="D8" s="84" t="str"/>
      <x:c r="E8" s="84" t="str"/>
      <x:c r="F8" s="84" t="str"/>
      <x:c r="G8" s="84" t="str"/>
      <x:c r="H8" s="84" t="str"/>
      <x:c r="I8" s="101"/>
      <x:c r="J8" s="101"/>
      <x:c r="K8" s="104" t="b">
        <x:v>1</x:v>
      </x:c>
      <x:c r="L8" s="84" t="str"/>
      <x:c r="M8" s="91" t="str">
        <x:v>Not Checked</x:v>
      </x:c>
    </x:row>
    <x:row r="9">
      <x:c r="A9" s="82" t="str"/>
      <x:c r="B9" s="84" t="str"/>
      <x:c r="C9" s="84" t="str"/>
      <x:c r="D9" s="84" t="str"/>
      <x:c r="E9" s="84" t="str"/>
      <x:c r="F9" s="84" t="str"/>
      <x:c r="G9" s="84" t="str"/>
      <x:c r="H9" s="84" t="str"/>
      <x:c r="I9" s="101"/>
      <x:c r="J9" s="101"/>
      <x:c r="K9" s="104" t="b">
        <x:v>1</x:v>
      </x:c>
      <x:c r="L9" s="84" t="str"/>
      <x:c r="M9" s="91" t="str">
        <x:v>Not Checked</x:v>
      </x:c>
    </x:row>
    <x:row r="10">
      <x:c r="A10" s="82" t="str"/>
      <x:c r="B10" s="84" t="str"/>
      <x:c r="C10" s="84" t="str"/>
      <x:c r="D10" s="84" t="str"/>
      <x:c r="E10" s="84" t="str"/>
      <x:c r="F10" s="84" t="str"/>
      <x:c r="G10" s="84" t="str"/>
      <x:c r="H10" s="84" t="str"/>
      <x:c r="I10" s="101"/>
      <x:c r="J10" s="101"/>
      <x:c r="K10" s="104" t="b">
        <x:v>1</x:v>
      </x:c>
      <x:c r="L10" s="84" t="str"/>
      <x:c r="M10" s="91" t="str">
        <x:v>Not Checked</x:v>
      </x:c>
    </x:row>
    <x:row r="11">
      <x:c r="A11" s="82" t="str"/>
      <x:c r="B11" s="84" t="str"/>
      <x:c r="C11" s="84" t="str"/>
      <x:c r="D11" s="84" t="str"/>
      <x:c r="E11" s="84" t="str"/>
      <x:c r="F11" s="84" t="str"/>
      <x:c r="G11" s="84" t="str"/>
      <x:c r="H11" s="84" t="str"/>
      <x:c r="I11" s="101"/>
      <x:c r="J11" s="101"/>
      <x:c r="K11" s="104" t="b">
        <x:v>1</x:v>
      </x:c>
      <x:c r="L11" s="84" t="str"/>
      <x:c r="M11" s="91" t="str">
        <x:v>Not Checked</x:v>
      </x:c>
    </x:row>
    <x:row r="12">
      <x:c r="A12" s="82" t="str"/>
      <x:c r="B12" s="84" t="str"/>
      <x:c r="C12" s="84" t="str"/>
      <x:c r="D12" s="84" t="str"/>
      <x:c r="E12" s="84" t="str"/>
      <x:c r="F12" s="84" t="str"/>
      <x:c r="G12" s="84" t="str"/>
      <x:c r="H12" s="84" t="str"/>
      <x:c r="I12" s="101"/>
      <x:c r="J12" s="101"/>
      <x:c r="K12" s="104" t="b">
        <x:v>1</x:v>
      </x:c>
      <x:c r="L12" s="84" t="str"/>
      <x:c r="M12" s="91" t="str">
        <x:v>Not Checked</x:v>
      </x:c>
    </x:row>
    <x:row r="13">
      <x:c r="A13" s="82" t="str"/>
      <x:c r="B13" s="84" t="str"/>
      <x:c r="C13" s="84" t="str"/>
      <x:c r="D13" s="84" t="str"/>
      <x:c r="E13" s="84" t="str"/>
      <x:c r="F13" s="84" t="str"/>
      <x:c r="G13" s="84" t="str"/>
      <x:c r="H13" s="84" t="str"/>
      <x:c r="I13" s="101"/>
      <x:c r="J13" s="101"/>
      <x:c r="K13" s="104" t="b">
        <x:v>1</x:v>
      </x:c>
      <x:c r="L13" s="84" t="str"/>
      <x:c r="M13" s="91" t="str">
        <x:v>Not Checked</x:v>
      </x:c>
    </x:row>
    <x:row r="14">
      <x:c r="A14" s="82" t="str"/>
      <x:c r="B14" s="84" t="str"/>
      <x:c r="C14" s="84" t="str"/>
      <x:c r="D14" s="84" t="str"/>
      <x:c r="E14" s="84" t="str"/>
      <x:c r="F14" s="84" t="str"/>
      <x:c r="G14" s="84" t="str"/>
      <x:c r="H14" s="84" t="str"/>
      <x:c r="I14" s="101"/>
      <x:c r="J14" s="101"/>
      <x:c r="K14" s="104" t="b">
        <x:v>1</x:v>
      </x:c>
      <x:c r="L14" s="84" t="str"/>
      <x:c r="M14" s="91" t="str">
        <x:v>Not Checked</x:v>
      </x:c>
    </x:row>
    <x:row r="15">
      <x:c r="A15" s="82" t="str"/>
      <x:c r="B15" s="84" t="str"/>
      <x:c r="C15" s="84" t="str"/>
      <x:c r="D15" s="84" t="str"/>
      <x:c r="E15" s="84" t="str"/>
      <x:c r="F15" s="84" t="str"/>
      <x:c r="G15" s="84" t="str"/>
      <x:c r="H15" s="84" t="str"/>
      <x:c r="I15" s="101"/>
      <x:c r="J15" s="101"/>
      <x:c r="K15" s="104" t="b">
        <x:v>1</x:v>
      </x:c>
      <x:c r="L15" s="84" t="str"/>
      <x:c r="M15" s="91" t="str">
        <x:v>Not Checked</x:v>
      </x:c>
    </x:row>
    <x:row r="16">
      <x:c r="A16" s="82" t="str"/>
      <x:c r="B16" s="84" t="str"/>
      <x:c r="C16" s="84" t="str"/>
      <x:c r="D16" s="84" t="str"/>
      <x:c r="E16" s="84" t="str"/>
      <x:c r="F16" s="84" t="str"/>
      <x:c r="G16" s="84" t="str"/>
      <x:c r="H16" s="84" t="str"/>
      <x:c r="I16" s="101"/>
      <x:c r="J16" s="101"/>
      <x:c r="K16" s="104" t="b">
        <x:v>1</x:v>
      </x:c>
      <x:c r="L16" s="84" t="str"/>
      <x:c r="M16" s="91" t="str">
        <x:v>Not Checked</x:v>
      </x:c>
    </x:row>
    <x:row r="17">
      <x:c r="A17" s="82" t="str"/>
      <x:c r="B17" s="84" t="str"/>
      <x:c r="C17" s="84" t="str"/>
      <x:c r="D17" s="84" t="str"/>
      <x:c r="E17" s="84" t="str"/>
      <x:c r="F17" s="84" t="str"/>
      <x:c r="G17" s="84" t="str"/>
      <x:c r="H17" s="84" t="str"/>
      <x:c r="I17" s="101"/>
      <x:c r="J17" s="101"/>
      <x:c r="K17" s="104" t="b">
        <x:v>1</x:v>
      </x:c>
      <x:c r="L17" s="84" t="str"/>
      <x:c r="M17" s="91" t="str">
        <x:v>Not Checked</x:v>
      </x:c>
    </x:row>
    <x:row r="18">
      <x:c r="A18" s="82" t="str"/>
      <x:c r="B18" s="84" t="str"/>
      <x:c r="C18" s="84" t="str"/>
      <x:c r="D18" s="84" t="str"/>
      <x:c r="E18" s="84" t="str"/>
      <x:c r="F18" s="84" t="str"/>
      <x:c r="G18" s="84" t="str"/>
      <x:c r="H18" s="84" t="str"/>
      <x:c r="I18" s="101"/>
      <x:c r="J18" s="101"/>
      <x:c r="K18" s="104" t="b">
        <x:v>1</x:v>
      </x:c>
      <x:c r="L18" s="84" t="str"/>
      <x:c r="M18" s="91" t="str">
        <x:v>Not Checked</x:v>
      </x:c>
    </x:row>
    <x:row r="19">
      <x:c r="A19" s="82" t="str"/>
      <x:c r="B19" s="84" t="str"/>
      <x:c r="C19" s="84" t="str"/>
      <x:c r="D19" s="84" t="str"/>
      <x:c r="E19" s="84" t="str"/>
      <x:c r="F19" s="84" t="str"/>
      <x:c r="G19" s="84" t="str"/>
      <x:c r="H19" s="84" t="str"/>
      <x:c r="I19" s="101"/>
      <x:c r="J19" s="101"/>
      <x:c r="K19" s="104" t="b">
        <x:v>1</x:v>
      </x:c>
      <x:c r="L19" s="84" t="str"/>
      <x:c r="M19" s="91" t="str">
        <x:v>Not Checked</x:v>
      </x:c>
    </x:row>
    <x:row r="20">
      <x:c r="A20" s="82" t="str"/>
      <x:c r="B20" s="84" t="str"/>
      <x:c r="C20" s="84" t="str"/>
      <x:c r="D20" s="84" t="str"/>
      <x:c r="E20" s="84" t="str"/>
      <x:c r="F20" s="84" t="str"/>
      <x:c r="G20" s="84" t="str"/>
      <x:c r="H20" s="84" t="str"/>
      <x:c r="I20" s="101"/>
      <x:c r="J20" s="101"/>
      <x:c r="K20" s="104" t="b">
        <x:v>1</x:v>
      </x:c>
      <x:c r="L20" s="84" t="str"/>
      <x:c r="M20" s="91" t="str">
        <x:v>Not Checked</x:v>
      </x:c>
    </x:row>
    <x:row r="21">
      <x:c r="A21" s="82" t="str"/>
      <x:c r="B21" s="84" t="str"/>
      <x:c r="C21" s="84" t="str"/>
      <x:c r="D21" s="84" t="str"/>
      <x:c r="E21" s="84" t="str"/>
      <x:c r="F21" s="84" t="str"/>
      <x:c r="G21" s="84" t="str"/>
      <x:c r="H21" s="84" t="str"/>
      <x:c r="I21" s="101"/>
      <x:c r="J21" s="101"/>
      <x:c r="K21" s="104" t="b">
        <x:v>1</x:v>
      </x:c>
      <x:c r="L21" s="84" t="str"/>
      <x:c r="M21" s="91" t="str">
        <x:v>Not Checked</x:v>
      </x:c>
    </x:row>
    <x:row r="22">
      <x:c r="A22" s="82" t="str"/>
      <x:c r="B22" s="84" t="str"/>
      <x:c r="C22" s="84" t="str"/>
      <x:c r="D22" s="84" t="str"/>
      <x:c r="E22" s="84" t="str"/>
      <x:c r="F22" s="84" t="str"/>
      <x:c r="G22" s="84" t="str"/>
      <x:c r="H22" s="84" t="str"/>
      <x:c r="I22" s="101"/>
      <x:c r="J22" s="101"/>
      <x:c r="K22" s="104" t="b">
        <x:v>1</x:v>
      </x:c>
      <x:c r="L22" s="84" t="str"/>
      <x:c r="M22" s="91" t="str">
        <x:v>Not Checked</x:v>
      </x:c>
    </x:row>
    <x:row r="23">
      <x:c r="A23" s="82" t="str"/>
      <x:c r="B23" s="84" t="str"/>
      <x:c r="C23" s="84" t="str"/>
      <x:c r="D23" s="84" t="str"/>
      <x:c r="E23" s="84" t="str"/>
      <x:c r="F23" s="84" t="str"/>
      <x:c r="G23" s="84" t="str"/>
      <x:c r="H23" s="84" t="str"/>
      <x:c r="I23" s="101"/>
      <x:c r="J23" s="101"/>
      <x:c r="K23" s="104" t="b">
        <x:v>1</x:v>
      </x:c>
      <x:c r="L23" s="84" t="str"/>
      <x:c r="M23" s="91" t="str">
        <x:v>Not Checked</x:v>
      </x:c>
    </x:row>
    <x:row r="24">
      <x:c r="A24" s="82" t="str"/>
      <x:c r="B24" s="84" t="str"/>
      <x:c r="C24" s="84" t="str"/>
      <x:c r="D24" s="84" t="str"/>
      <x:c r="E24" s="84" t="str"/>
      <x:c r="F24" s="84" t="str"/>
      <x:c r="G24" s="84" t="str"/>
      <x:c r="H24" s="84" t="str"/>
      <x:c r="I24" s="101"/>
      <x:c r="J24" s="101"/>
      <x:c r="K24" s="104" t="b">
        <x:v>1</x:v>
      </x:c>
      <x:c r="L24" s="84" t="str"/>
      <x:c r="M24" s="91" t="str">
        <x:v>Not Checked</x:v>
      </x:c>
    </x:row>
    <x:row r="25">
      <x:c r="A25" s="82" t="str"/>
      <x:c r="B25" s="84" t="str"/>
      <x:c r="C25" s="84" t="str"/>
      <x:c r="D25" s="84" t="str"/>
      <x:c r="E25" s="84" t="str"/>
      <x:c r="F25" s="84" t="str"/>
      <x:c r="G25" s="84" t="str"/>
      <x:c r="H25" s="84" t="str"/>
      <x:c r="I25" s="101"/>
      <x:c r="J25" s="101"/>
      <x:c r="K25" s="104" t="b">
        <x:v>1</x:v>
      </x:c>
      <x:c r="L25" s="84" t="str"/>
      <x:c r="M25" s="91" t="str">
        <x:v>Not Checked</x:v>
      </x:c>
    </x:row>
    <x:row r="26">
      <x:c r="A26" s="82" t="str"/>
      <x:c r="B26" s="84" t="str"/>
      <x:c r="C26" s="84" t="str"/>
      <x:c r="D26" s="84" t="str"/>
      <x:c r="E26" s="84" t="str"/>
      <x:c r="F26" s="84" t="str"/>
      <x:c r="G26" s="84" t="str"/>
      <x:c r="H26" s="84" t="str"/>
      <x:c r="I26" s="101"/>
      <x:c r="J26" s="101"/>
      <x:c r="K26" s="104" t="b">
        <x:v>1</x:v>
      </x:c>
      <x:c r="L26" s="84" t="str"/>
      <x:c r="M26" s="91" t="str">
        <x:v>Not Checked</x:v>
      </x:c>
    </x:row>
    <x:row r="27">
      <x:c r="A27" s="82" t="str"/>
      <x:c r="B27" s="84" t="str"/>
      <x:c r="C27" s="84" t="str"/>
      <x:c r="D27" s="84" t="str"/>
      <x:c r="E27" s="84" t="str"/>
      <x:c r="F27" s="84" t="str"/>
      <x:c r="G27" s="84" t="str"/>
      <x:c r="H27" s="84" t="str"/>
      <x:c r="I27" s="101"/>
      <x:c r="J27" s="101"/>
      <x:c r="K27" s="104" t="b">
        <x:v>1</x:v>
      </x:c>
      <x:c r="L27" s="84" t="str"/>
      <x:c r="M27" s="91" t="str">
        <x:v>Not Checked</x:v>
      </x:c>
    </x:row>
    <x:row r="28">
      <x:c r="A28" s="82" t="str"/>
      <x:c r="B28" s="84" t="str"/>
      <x:c r="C28" s="84" t="str"/>
      <x:c r="D28" s="84" t="str"/>
      <x:c r="E28" s="84" t="str"/>
      <x:c r="F28" s="84" t="str"/>
      <x:c r="G28" s="84" t="str"/>
      <x:c r="H28" s="84" t="str"/>
      <x:c r="I28" s="101"/>
      <x:c r="J28" s="101"/>
      <x:c r="K28" s="104" t="b">
        <x:v>1</x:v>
      </x:c>
      <x:c r="L28" s="84" t="str"/>
      <x:c r="M28" s="91" t="str">
        <x:v>Not Checked</x:v>
      </x:c>
    </x:row>
    <x:row r="29">
      <x:c r="A29" s="86" t="str"/>
      <x:c r="B29" s="87" t="str"/>
      <x:c r="C29" s="87" t="str"/>
      <x:c r="D29" s="87" t="str"/>
      <x:c r="E29" s="87" t="str"/>
      <x:c r="F29" s="87" t="str"/>
      <x:c r="G29" s="87" t="str"/>
      <x:c r="H29" s="87" t="str"/>
      <x:c r="I29" s="102"/>
      <x:c r="J29" s="102"/>
      <x:c r="K29" s="105" t="b">
        <x:v>1</x:v>
      </x:c>
      <x:c r="L29" s="87" t="str"/>
      <x:c r="M29" s="92" t="str">
        <x:v>Not Checked</x:v>
      </x:c>
    </x:row>
  </x:sheetData>
  <x:mergeCells>
    <x:mergeCell ref="A1:M1"/>
    <x:mergeCell ref="A2:M2"/>
  </x:mergeCells>
  <x:dataValidations count="2">
    <x:dataValidation type="list" sqref="A5:A29">
      <x:formula1>"Company,Branch,Partner,Product Category,Product,UoM,Cost Code,WBS,Location,Warehouse,Equipment,Vehicle,User"</x:formula1>
    </x:dataValidation>
    <x:dataValidation type="list" sqref="M5:M29">
      <x:formula1>"Not Checked,Valid,Rejected"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0" customHeight="1">
      <x:c r="A1" s="93" t="str">
        <x:v>Project and Contract Import Staging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</x:row>
    <x:row r="2" ht="32" customHeight="1">
      <x:c r="A2" s="73" t="str">
        <x:v>Projects must link to an approved company, analytic account and contract context before dependent BOQ or transaction loads.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 ht="28" customHeight="1">
      <x:c r="A4" s="75" t="str">
        <x:v>External ID</x:v>
      </x:c>
      <x:c r="B4" s="77" t="str">
        <x:v>Project code</x:v>
      </x:c>
      <x:c r="C4" s="77" t="str">
        <x:v>Project name</x:v>
      </x:c>
      <x:c r="D4" s="77" t="str">
        <x:v>Company code</x:v>
      </x:c>
      <x:c r="E4" s="77" t="str">
        <x:v>Analytic account code</x:v>
      </x:c>
      <x:c r="F4" s="77" t="str">
        <x:v>Contract external ID</x:v>
      </x:c>
      <x:c r="G4" s="77" t="str">
        <x:v>Contract type</x:v>
      </x:c>
      <x:c r="H4" s="77" t="str">
        <x:v>Partner external ID</x:v>
      </x:c>
      <x:c r="I4" s="77" t="str">
        <x:v>Currency</x:v>
      </x:c>
      <x:c r="J4" s="77" t="str">
        <x:v>Original value</x:v>
      </x:c>
      <x:c r="K4" s="77" t="str">
        <x:v>Start date</x:v>
      </x:c>
      <x:c r="L4" s="77" t="str">
        <x:v>End date</x:v>
      </x:c>
      <x:c r="M4" s="77" t="str">
        <x:v>State</x:v>
      </x:c>
      <x:c r="N4" s="76" t="str">
        <x:v>Validation status</x:v>
      </x:c>
    </x:row>
    <x:row r="5">
      <x:c r="A5" s="78" t="str"/>
      <x:c r="B5" s="80" t="str"/>
      <x:c r="C5" s="80" t="str"/>
      <x:c r="D5" s="80" t="str"/>
      <x:c r="E5" s="80" t="str"/>
      <x:c r="F5" s="80" t="str"/>
      <x:c r="G5" s="80" t="str"/>
      <x:c r="H5" s="80" t="str"/>
      <x:c r="I5" s="80" t="str"/>
      <x:c r="J5" s="97" t="n">
        <x:v>0</x:v>
      </x:c>
      <x:c r="K5" s="100"/>
      <x:c r="L5" s="100"/>
      <x:c r="M5" s="80" t="str">
        <x:v>Draft</x:v>
      </x:c>
      <x:c r="N5" s="90" t="str">
        <x:v>Not Checked</x:v>
      </x:c>
    </x:row>
    <x:row r="6">
      <x:c r="A6" s="82" t="str"/>
      <x:c r="B6" s="84" t="str"/>
      <x:c r="C6" s="84" t="str"/>
      <x:c r="D6" s="84" t="str"/>
      <x:c r="E6" s="84" t="str"/>
      <x:c r="F6" s="84" t="str"/>
      <x:c r="G6" s="84" t="str"/>
      <x:c r="H6" s="84" t="str"/>
      <x:c r="I6" s="84" t="str"/>
      <x:c r="J6" s="98" t="n">
        <x:v>0</x:v>
      </x:c>
      <x:c r="K6" s="101"/>
      <x:c r="L6" s="101"/>
      <x:c r="M6" s="84" t="str">
        <x:v>Draft</x:v>
      </x:c>
      <x:c r="N6" s="91" t="str">
        <x:v>Not Checked</x:v>
      </x:c>
    </x:row>
    <x:row r="7">
      <x:c r="A7" s="82" t="str"/>
      <x:c r="B7" s="84" t="str"/>
      <x:c r="C7" s="84" t="str"/>
      <x:c r="D7" s="84" t="str"/>
      <x:c r="E7" s="84" t="str"/>
      <x:c r="F7" s="84" t="str"/>
      <x:c r="G7" s="84" t="str"/>
      <x:c r="H7" s="84" t="str"/>
      <x:c r="I7" s="84" t="str"/>
      <x:c r="J7" s="98" t="n">
        <x:v>0</x:v>
      </x:c>
      <x:c r="K7" s="101"/>
      <x:c r="L7" s="101"/>
      <x:c r="M7" s="84" t="str">
        <x:v>Draft</x:v>
      </x:c>
      <x:c r="N7" s="91" t="str">
        <x:v>Not Checked</x:v>
      </x:c>
    </x:row>
    <x:row r="8">
      <x:c r="A8" s="82" t="str"/>
      <x:c r="B8" s="84" t="str"/>
      <x:c r="C8" s="84" t="str"/>
      <x:c r="D8" s="84" t="str"/>
      <x:c r="E8" s="84" t="str"/>
      <x:c r="F8" s="84" t="str"/>
      <x:c r="G8" s="84" t="str"/>
      <x:c r="H8" s="84" t="str"/>
      <x:c r="I8" s="84" t="str"/>
      <x:c r="J8" s="98" t="n">
        <x:v>0</x:v>
      </x:c>
      <x:c r="K8" s="101"/>
      <x:c r="L8" s="101"/>
      <x:c r="M8" s="84" t="str">
        <x:v>Draft</x:v>
      </x:c>
      <x:c r="N8" s="91" t="str">
        <x:v>Not Checked</x:v>
      </x:c>
    </x:row>
    <x:row r="9">
      <x:c r="A9" s="82" t="str"/>
      <x:c r="B9" s="84" t="str"/>
      <x:c r="C9" s="84" t="str"/>
      <x:c r="D9" s="84" t="str"/>
      <x:c r="E9" s="84" t="str"/>
      <x:c r="F9" s="84" t="str"/>
      <x:c r="G9" s="84" t="str"/>
      <x:c r="H9" s="84" t="str"/>
      <x:c r="I9" s="84" t="str"/>
      <x:c r="J9" s="98" t="n">
        <x:v>0</x:v>
      </x:c>
      <x:c r="K9" s="101"/>
      <x:c r="L9" s="101"/>
      <x:c r="M9" s="84" t="str">
        <x:v>Draft</x:v>
      </x:c>
      <x:c r="N9" s="91" t="str">
        <x:v>Not Checked</x:v>
      </x:c>
    </x:row>
    <x:row r="10">
      <x:c r="A10" s="82" t="str"/>
      <x:c r="B10" s="84" t="str"/>
      <x:c r="C10" s="84" t="str"/>
      <x:c r="D10" s="84" t="str"/>
      <x:c r="E10" s="84" t="str"/>
      <x:c r="F10" s="84" t="str"/>
      <x:c r="G10" s="84" t="str"/>
      <x:c r="H10" s="84" t="str"/>
      <x:c r="I10" s="84" t="str"/>
      <x:c r="J10" s="98" t="n">
        <x:v>0</x:v>
      </x:c>
      <x:c r="K10" s="101"/>
      <x:c r="L10" s="101"/>
      <x:c r="M10" s="84" t="str">
        <x:v>Draft</x:v>
      </x:c>
      <x:c r="N10" s="91" t="str">
        <x:v>Not Checked</x:v>
      </x:c>
    </x:row>
    <x:row r="11">
      <x:c r="A11" s="82" t="str"/>
      <x:c r="B11" s="84" t="str"/>
      <x:c r="C11" s="84" t="str"/>
      <x:c r="D11" s="84" t="str"/>
      <x:c r="E11" s="84" t="str"/>
      <x:c r="F11" s="84" t="str"/>
      <x:c r="G11" s="84" t="str"/>
      <x:c r="H11" s="84" t="str"/>
      <x:c r="I11" s="84" t="str"/>
      <x:c r="J11" s="98" t="n">
        <x:v>0</x:v>
      </x:c>
      <x:c r="K11" s="101"/>
      <x:c r="L11" s="101"/>
      <x:c r="M11" s="84" t="str">
        <x:v>Draft</x:v>
      </x:c>
      <x:c r="N11" s="91" t="str">
        <x:v>Not Checked</x:v>
      </x:c>
    </x:row>
    <x:row r="12">
      <x:c r="A12" s="82" t="str"/>
      <x:c r="B12" s="84" t="str"/>
      <x:c r="C12" s="84" t="str"/>
      <x:c r="D12" s="84" t="str"/>
      <x:c r="E12" s="84" t="str"/>
      <x:c r="F12" s="84" t="str"/>
      <x:c r="G12" s="84" t="str"/>
      <x:c r="H12" s="84" t="str"/>
      <x:c r="I12" s="84" t="str"/>
      <x:c r="J12" s="98" t="n">
        <x:v>0</x:v>
      </x:c>
      <x:c r="K12" s="101"/>
      <x:c r="L12" s="101"/>
      <x:c r="M12" s="84" t="str">
        <x:v>Draft</x:v>
      </x:c>
      <x:c r="N12" s="91" t="str">
        <x:v>Not Checked</x:v>
      </x:c>
    </x:row>
    <x:row r="13">
      <x:c r="A13" s="82" t="str"/>
      <x:c r="B13" s="84" t="str"/>
      <x:c r="C13" s="84" t="str"/>
      <x:c r="D13" s="84" t="str"/>
      <x:c r="E13" s="84" t="str"/>
      <x:c r="F13" s="84" t="str"/>
      <x:c r="G13" s="84" t="str"/>
      <x:c r="H13" s="84" t="str"/>
      <x:c r="I13" s="84" t="str"/>
      <x:c r="J13" s="98" t="n">
        <x:v>0</x:v>
      </x:c>
      <x:c r="K13" s="101"/>
      <x:c r="L13" s="101"/>
      <x:c r="M13" s="84" t="str">
        <x:v>Draft</x:v>
      </x:c>
      <x:c r="N13" s="91" t="str">
        <x:v>Not Checked</x:v>
      </x:c>
    </x:row>
    <x:row r="14">
      <x:c r="A14" s="82" t="str"/>
      <x:c r="B14" s="84" t="str"/>
      <x:c r="C14" s="84" t="str"/>
      <x:c r="D14" s="84" t="str"/>
      <x:c r="E14" s="84" t="str"/>
      <x:c r="F14" s="84" t="str"/>
      <x:c r="G14" s="84" t="str"/>
      <x:c r="H14" s="84" t="str"/>
      <x:c r="I14" s="84" t="str"/>
      <x:c r="J14" s="98" t="n">
        <x:v>0</x:v>
      </x:c>
      <x:c r="K14" s="101"/>
      <x:c r="L14" s="101"/>
      <x:c r="M14" s="84" t="str">
        <x:v>Draft</x:v>
      </x:c>
      <x:c r="N14" s="91" t="str">
        <x:v>Not Checked</x:v>
      </x:c>
    </x:row>
    <x:row r="15">
      <x:c r="A15" s="82" t="str"/>
      <x:c r="B15" s="84" t="str"/>
      <x:c r="C15" s="84" t="str"/>
      <x:c r="D15" s="84" t="str"/>
      <x:c r="E15" s="84" t="str"/>
      <x:c r="F15" s="84" t="str"/>
      <x:c r="G15" s="84" t="str"/>
      <x:c r="H15" s="84" t="str"/>
      <x:c r="I15" s="84" t="str"/>
      <x:c r="J15" s="98" t="n">
        <x:v>0</x:v>
      </x:c>
      <x:c r="K15" s="101"/>
      <x:c r="L15" s="101"/>
      <x:c r="M15" s="84" t="str">
        <x:v>Draft</x:v>
      </x:c>
      <x:c r="N15" s="91" t="str">
        <x:v>Not Checked</x:v>
      </x:c>
    </x:row>
    <x:row r="16">
      <x:c r="A16" s="82" t="str"/>
      <x:c r="B16" s="84" t="str"/>
      <x:c r="C16" s="84" t="str"/>
      <x:c r="D16" s="84" t="str"/>
      <x:c r="E16" s="84" t="str"/>
      <x:c r="F16" s="84" t="str"/>
      <x:c r="G16" s="84" t="str"/>
      <x:c r="H16" s="84" t="str"/>
      <x:c r="I16" s="84" t="str"/>
      <x:c r="J16" s="98" t="n">
        <x:v>0</x:v>
      </x:c>
      <x:c r="K16" s="101"/>
      <x:c r="L16" s="101"/>
      <x:c r="M16" s="84" t="str">
        <x:v>Draft</x:v>
      </x:c>
      <x:c r="N16" s="91" t="str">
        <x:v>Not Checked</x:v>
      </x:c>
    </x:row>
    <x:row r="17">
      <x:c r="A17" s="82" t="str"/>
      <x:c r="B17" s="84" t="str"/>
      <x:c r="C17" s="84" t="str"/>
      <x:c r="D17" s="84" t="str"/>
      <x:c r="E17" s="84" t="str"/>
      <x:c r="F17" s="84" t="str"/>
      <x:c r="G17" s="84" t="str"/>
      <x:c r="H17" s="84" t="str"/>
      <x:c r="I17" s="84" t="str"/>
      <x:c r="J17" s="98" t="n">
        <x:v>0</x:v>
      </x:c>
      <x:c r="K17" s="101"/>
      <x:c r="L17" s="101"/>
      <x:c r="M17" s="84" t="str">
        <x:v>Draft</x:v>
      </x:c>
      <x:c r="N17" s="91" t="str">
        <x:v>Not Checked</x:v>
      </x:c>
    </x:row>
    <x:row r="18">
      <x:c r="A18" s="82" t="str"/>
      <x:c r="B18" s="84" t="str"/>
      <x:c r="C18" s="84" t="str"/>
      <x:c r="D18" s="84" t="str"/>
      <x:c r="E18" s="84" t="str"/>
      <x:c r="F18" s="84" t="str"/>
      <x:c r="G18" s="84" t="str"/>
      <x:c r="H18" s="84" t="str"/>
      <x:c r="I18" s="84" t="str"/>
      <x:c r="J18" s="98" t="n">
        <x:v>0</x:v>
      </x:c>
      <x:c r="K18" s="101"/>
      <x:c r="L18" s="101"/>
      <x:c r="M18" s="84" t="str">
        <x:v>Draft</x:v>
      </x:c>
      <x:c r="N18" s="91" t="str">
        <x:v>Not Checked</x:v>
      </x:c>
    </x:row>
    <x:row r="19">
      <x:c r="A19" s="82" t="str"/>
      <x:c r="B19" s="84" t="str"/>
      <x:c r="C19" s="84" t="str"/>
      <x:c r="D19" s="84" t="str"/>
      <x:c r="E19" s="84" t="str"/>
      <x:c r="F19" s="84" t="str"/>
      <x:c r="G19" s="84" t="str"/>
      <x:c r="H19" s="84" t="str"/>
      <x:c r="I19" s="84" t="str"/>
      <x:c r="J19" s="98" t="n">
        <x:v>0</x:v>
      </x:c>
      <x:c r="K19" s="101"/>
      <x:c r="L19" s="101"/>
      <x:c r="M19" s="84" t="str">
        <x:v>Draft</x:v>
      </x:c>
      <x:c r="N19" s="91" t="str">
        <x:v>Not Checked</x:v>
      </x:c>
    </x:row>
    <x:row r="20">
      <x:c r="A20" s="82" t="str"/>
      <x:c r="B20" s="84" t="str"/>
      <x:c r="C20" s="84" t="str"/>
      <x:c r="D20" s="84" t="str"/>
      <x:c r="E20" s="84" t="str"/>
      <x:c r="F20" s="84" t="str"/>
      <x:c r="G20" s="84" t="str"/>
      <x:c r="H20" s="84" t="str"/>
      <x:c r="I20" s="84" t="str"/>
      <x:c r="J20" s="98" t="n">
        <x:v>0</x:v>
      </x:c>
      <x:c r="K20" s="101"/>
      <x:c r="L20" s="101"/>
      <x:c r="M20" s="84" t="str">
        <x:v>Draft</x:v>
      </x:c>
      <x:c r="N20" s="91" t="str">
        <x:v>Not Checked</x:v>
      </x:c>
    </x:row>
    <x:row r="21">
      <x:c r="A21" s="82" t="str"/>
      <x:c r="B21" s="84" t="str"/>
      <x:c r="C21" s="84" t="str"/>
      <x:c r="D21" s="84" t="str"/>
      <x:c r="E21" s="84" t="str"/>
      <x:c r="F21" s="84" t="str"/>
      <x:c r="G21" s="84" t="str"/>
      <x:c r="H21" s="84" t="str"/>
      <x:c r="I21" s="84" t="str"/>
      <x:c r="J21" s="98" t="n">
        <x:v>0</x:v>
      </x:c>
      <x:c r="K21" s="101"/>
      <x:c r="L21" s="101"/>
      <x:c r="M21" s="84" t="str">
        <x:v>Draft</x:v>
      </x:c>
      <x:c r="N21" s="91" t="str">
        <x:v>Not Checked</x:v>
      </x:c>
    </x:row>
    <x:row r="22">
      <x:c r="A22" s="82" t="str"/>
      <x:c r="B22" s="84" t="str"/>
      <x:c r="C22" s="84" t="str"/>
      <x:c r="D22" s="84" t="str"/>
      <x:c r="E22" s="84" t="str"/>
      <x:c r="F22" s="84" t="str"/>
      <x:c r="G22" s="84" t="str"/>
      <x:c r="H22" s="84" t="str"/>
      <x:c r="I22" s="84" t="str"/>
      <x:c r="J22" s="98" t="n">
        <x:v>0</x:v>
      </x:c>
      <x:c r="K22" s="101"/>
      <x:c r="L22" s="101"/>
      <x:c r="M22" s="84" t="str">
        <x:v>Draft</x:v>
      </x:c>
      <x:c r="N22" s="91" t="str">
        <x:v>Not Checked</x:v>
      </x:c>
    </x:row>
    <x:row r="23">
      <x:c r="A23" s="82" t="str"/>
      <x:c r="B23" s="84" t="str"/>
      <x:c r="C23" s="84" t="str"/>
      <x:c r="D23" s="84" t="str"/>
      <x:c r="E23" s="84" t="str"/>
      <x:c r="F23" s="84" t="str"/>
      <x:c r="G23" s="84" t="str"/>
      <x:c r="H23" s="84" t="str"/>
      <x:c r="I23" s="84" t="str"/>
      <x:c r="J23" s="98" t="n">
        <x:v>0</x:v>
      </x:c>
      <x:c r="K23" s="101"/>
      <x:c r="L23" s="101"/>
      <x:c r="M23" s="84" t="str">
        <x:v>Draft</x:v>
      </x:c>
      <x:c r="N23" s="91" t="str">
        <x:v>Not Checked</x:v>
      </x:c>
    </x:row>
    <x:row r="24">
      <x:c r="A24" s="82" t="str"/>
      <x:c r="B24" s="84" t="str"/>
      <x:c r="C24" s="84" t="str"/>
      <x:c r="D24" s="84" t="str"/>
      <x:c r="E24" s="84" t="str"/>
      <x:c r="F24" s="84" t="str"/>
      <x:c r="G24" s="84" t="str"/>
      <x:c r="H24" s="84" t="str"/>
      <x:c r="I24" s="84" t="str"/>
      <x:c r="J24" s="98" t="n">
        <x:v>0</x:v>
      </x:c>
      <x:c r="K24" s="101"/>
      <x:c r="L24" s="101"/>
      <x:c r="M24" s="84" t="str">
        <x:v>Draft</x:v>
      </x:c>
      <x:c r="N24" s="91" t="str">
        <x:v>Not Checked</x:v>
      </x:c>
    </x:row>
    <x:row r="25">
      <x:c r="A25" s="82" t="str"/>
      <x:c r="B25" s="84" t="str"/>
      <x:c r="C25" s="84" t="str"/>
      <x:c r="D25" s="84" t="str"/>
      <x:c r="E25" s="84" t="str"/>
      <x:c r="F25" s="84" t="str"/>
      <x:c r="G25" s="84" t="str"/>
      <x:c r="H25" s="84" t="str"/>
      <x:c r="I25" s="84" t="str"/>
      <x:c r="J25" s="98" t="n">
        <x:v>0</x:v>
      </x:c>
      <x:c r="K25" s="101"/>
      <x:c r="L25" s="101"/>
      <x:c r="M25" s="84" t="str">
        <x:v>Draft</x:v>
      </x:c>
      <x:c r="N25" s="91" t="str">
        <x:v>Not Checked</x:v>
      </x:c>
    </x:row>
    <x:row r="26">
      <x:c r="A26" s="82" t="str"/>
      <x:c r="B26" s="84" t="str"/>
      <x:c r="C26" s="84" t="str"/>
      <x:c r="D26" s="84" t="str"/>
      <x:c r="E26" s="84" t="str"/>
      <x:c r="F26" s="84" t="str"/>
      <x:c r="G26" s="84" t="str"/>
      <x:c r="H26" s="84" t="str"/>
      <x:c r="I26" s="84" t="str"/>
      <x:c r="J26" s="98" t="n">
        <x:v>0</x:v>
      </x:c>
      <x:c r="K26" s="101"/>
      <x:c r="L26" s="101"/>
      <x:c r="M26" s="84" t="str">
        <x:v>Draft</x:v>
      </x:c>
      <x:c r="N26" s="91" t="str">
        <x:v>Not Checked</x:v>
      </x:c>
    </x:row>
    <x:row r="27">
      <x:c r="A27" s="82" t="str"/>
      <x:c r="B27" s="84" t="str"/>
      <x:c r="C27" s="84" t="str"/>
      <x:c r="D27" s="84" t="str"/>
      <x:c r="E27" s="84" t="str"/>
      <x:c r="F27" s="84" t="str"/>
      <x:c r="G27" s="84" t="str"/>
      <x:c r="H27" s="84" t="str"/>
      <x:c r="I27" s="84" t="str"/>
      <x:c r="J27" s="98" t="n">
        <x:v>0</x:v>
      </x:c>
      <x:c r="K27" s="101"/>
      <x:c r="L27" s="101"/>
      <x:c r="M27" s="84" t="str">
        <x:v>Draft</x:v>
      </x:c>
      <x:c r="N27" s="91" t="str">
        <x:v>Not Checked</x:v>
      </x:c>
    </x:row>
    <x:row r="28">
      <x:c r="A28" s="82" t="str"/>
      <x:c r="B28" s="84" t="str"/>
      <x:c r="C28" s="84" t="str"/>
      <x:c r="D28" s="84" t="str"/>
      <x:c r="E28" s="84" t="str"/>
      <x:c r="F28" s="84" t="str"/>
      <x:c r="G28" s="84" t="str"/>
      <x:c r="H28" s="84" t="str"/>
      <x:c r="I28" s="84" t="str"/>
      <x:c r="J28" s="98" t="n">
        <x:v>0</x:v>
      </x:c>
      <x:c r="K28" s="101"/>
      <x:c r="L28" s="101"/>
      <x:c r="M28" s="84" t="str">
        <x:v>Draft</x:v>
      </x:c>
      <x:c r="N28" s="91" t="str">
        <x:v>Not Checked</x:v>
      </x:c>
    </x:row>
    <x:row r="29">
      <x:c r="A29" s="86" t="str"/>
      <x:c r="B29" s="87" t="str"/>
      <x:c r="C29" s="87" t="str"/>
      <x:c r="D29" s="87" t="str"/>
      <x:c r="E29" s="87" t="str"/>
      <x:c r="F29" s="87" t="str"/>
      <x:c r="G29" s="87" t="str"/>
      <x:c r="H29" s="87" t="str"/>
      <x:c r="I29" s="87" t="str"/>
      <x:c r="J29" s="99" t="n">
        <x:v>0</x:v>
      </x:c>
      <x:c r="K29" s="102"/>
      <x:c r="L29" s="102"/>
      <x:c r="M29" s="87" t="str">
        <x:v>Draft</x:v>
      </x:c>
      <x:c r="N29" s="92" t="str">
        <x:v>Not Checked</x:v>
      </x:c>
    </x:row>
  </x:sheetData>
  <x:mergeCells>
    <x:mergeCell ref="A1:N1"/>
    <x:mergeCell ref="A2:N2"/>
  </x:mergeCells>
  <x:dataValidations count="2">
    <x:dataValidation type="list" sqref="M5:M29">
      <x:formula1>"Draft,Review,Approved,Active"</x:formula1>
    </x:dataValidation>
    <x:dataValidation type="list" sqref="N5:N29">
      <x:formula1>"Not Checked,Valid,Rejected"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8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0" customHeight="1">
      <x:c r="A1" s="93" t="str">
        <x:v>BOQ and Budget Line Staging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</x:row>
    <x:row r="2" ht="32" customHeight="1">
      <x:c r="A2" s="73" t="str">
        <x:v>One row per source line. Preserve external IDs, revision, WBS, cost code, location and currency context.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</x:row>
    <x:row r="4" ht="28" customHeight="1">
      <x:c r="A4" s="75" t="str">
        <x:v>BOQ external ID</x:v>
      </x:c>
      <x:c r="B4" s="77" t="str">
        <x:v>Revision</x:v>
      </x:c>
      <x:c r="C4" s="77" t="str">
        <x:v>Line external ID</x:v>
      </x:c>
      <x:c r="D4" s="77" t="str">
        <x:v>Parent section ID</x:v>
      </x:c>
      <x:c r="E4" s="77" t="str">
        <x:v>Project code</x:v>
      </x:c>
      <x:c r="F4" s="77" t="str">
        <x:v>Contract external ID</x:v>
      </x:c>
      <x:c r="G4" s="77" t="str">
        <x:v>BOQ type</x:v>
      </x:c>
      <x:c r="H4" s="77" t="str">
        <x:v>Item code</x:v>
      </x:c>
      <x:c r="I4" s="77" t="str">
        <x:v>Description</x:v>
      </x:c>
      <x:c r="J4" s="77" t="str">
        <x:v>UoM</x:v>
      </x:c>
      <x:c r="K4" s="77" t="str">
        <x:v>Quantity</x:v>
      </x:c>
      <x:c r="L4" s="77" t="str">
        <x:v>Unit rate / cost</x:v>
      </x:c>
      <x:c r="M4" s="77" t="str">
        <x:v>Amount check</x:v>
      </x:c>
      <x:c r="N4" s="77" t="str">
        <x:v>WBS code</x:v>
      </x:c>
      <x:c r="O4" s="77" t="str">
        <x:v>Cost code</x:v>
      </x:c>
      <x:c r="P4" s="76" t="str">
        <x:v>Validation status</x:v>
      </x:c>
    </x:row>
    <x:row r="5">
      <x:c r="A5" s="78" t="str"/>
      <x:c r="B5" s="80" t="n">
        <x:v>0</x:v>
      </x:c>
      <x:c r="C5" s="80" t="str"/>
      <x:c r="D5" s="80" t="str"/>
      <x:c r="E5" s="80" t="str"/>
      <x:c r="F5" s="80" t="str"/>
      <x:c r="G5" s="80" t="str">
        <x:v>Sell</x:v>
      </x:c>
      <x:c r="H5" s="80" t="str"/>
      <x:c r="I5" s="80" t="str"/>
      <x:c r="J5" s="80" t="str"/>
      <x:c r="K5" s="97" t="n">
        <x:v>0</x:v>
      </x:c>
      <x:c r="L5" s="97" t="n">
        <x:v>0</x:v>
      </x:c>
      <x:c r="M5" s="97" t="n">
        <x:f>K5*L5</x:f>
        <x:v>0</x:v>
      </x:c>
      <x:c r="N5" s="80" t="str"/>
      <x:c r="O5" s="80" t="str"/>
      <x:c r="P5" s="90" t="str">
        <x:v>Not Checked</x:v>
      </x:c>
    </x:row>
    <x:row r="6">
      <x:c r="A6" s="82" t="str"/>
      <x:c r="B6" s="84" t="n">
        <x:v>0</x:v>
      </x:c>
      <x:c r="C6" s="84" t="str"/>
      <x:c r="D6" s="84" t="str"/>
      <x:c r="E6" s="84" t="str"/>
      <x:c r="F6" s="84" t="str"/>
      <x:c r="G6" s="84" t="str">
        <x:v>Sell</x:v>
      </x:c>
      <x:c r="H6" s="84" t="str"/>
      <x:c r="I6" s="84" t="str"/>
      <x:c r="J6" s="84" t="str"/>
      <x:c r="K6" s="98" t="n">
        <x:v>0</x:v>
      </x:c>
      <x:c r="L6" s="98" t="n">
        <x:v>0</x:v>
      </x:c>
      <x:c r="M6" s="98" t="n">
        <x:f>K6*L6</x:f>
        <x:v>0</x:v>
      </x:c>
      <x:c r="N6" s="84" t="str"/>
      <x:c r="O6" s="84" t="str"/>
      <x:c r="P6" s="91" t="str">
        <x:v>Not Checked</x:v>
      </x:c>
    </x:row>
    <x:row r="7">
      <x:c r="A7" s="82" t="str"/>
      <x:c r="B7" s="84" t="n">
        <x:v>0</x:v>
      </x:c>
      <x:c r="C7" s="84" t="str"/>
      <x:c r="D7" s="84" t="str"/>
      <x:c r="E7" s="84" t="str"/>
      <x:c r="F7" s="84" t="str"/>
      <x:c r="G7" s="84" t="str">
        <x:v>Sell</x:v>
      </x:c>
      <x:c r="H7" s="84" t="str"/>
      <x:c r="I7" s="84" t="str"/>
      <x:c r="J7" s="84" t="str"/>
      <x:c r="K7" s="98" t="n">
        <x:v>0</x:v>
      </x:c>
      <x:c r="L7" s="98" t="n">
        <x:v>0</x:v>
      </x:c>
      <x:c r="M7" s="98" t="n">
        <x:f>K7*L7</x:f>
        <x:v>0</x:v>
      </x:c>
      <x:c r="N7" s="84" t="str"/>
      <x:c r="O7" s="84" t="str"/>
      <x:c r="P7" s="91" t="str">
        <x:v>Not Checked</x:v>
      </x:c>
    </x:row>
    <x:row r="8">
      <x:c r="A8" s="82" t="str"/>
      <x:c r="B8" s="84" t="n">
        <x:v>0</x:v>
      </x:c>
      <x:c r="C8" s="84" t="str"/>
      <x:c r="D8" s="84" t="str"/>
      <x:c r="E8" s="84" t="str"/>
      <x:c r="F8" s="84" t="str"/>
      <x:c r="G8" s="84" t="str">
        <x:v>Sell</x:v>
      </x:c>
      <x:c r="H8" s="84" t="str"/>
      <x:c r="I8" s="84" t="str"/>
      <x:c r="J8" s="84" t="str"/>
      <x:c r="K8" s="98" t="n">
        <x:v>0</x:v>
      </x:c>
      <x:c r="L8" s="98" t="n">
        <x:v>0</x:v>
      </x:c>
      <x:c r="M8" s="98" t="n">
        <x:f>K8*L8</x:f>
        <x:v>0</x:v>
      </x:c>
      <x:c r="N8" s="84" t="str"/>
      <x:c r="O8" s="84" t="str"/>
      <x:c r="P8" s="91" t="str">
        <x:v>Not Checked</x:v>
      </x:c>
    </x:row>
    <x:row r="9">
      <x:c r="A9" s="82" t="str"/>
      <x:c r="B9" s="84" t="n">
        <x:v>0</x:v>
      </x:c>
      <x:c r="C9" s="84" t="str"/>
      <x:c r="D9" s="84" t="str"/>
      <x:c r="E9" s="84" t="str"/>
      <x:c r="F9" s="84" t="str"/>
      <x:c r="G9" s="84" t="str">
        <x:v>Sell</x:v>
      </x:c>
      <x:c r="H9" s="84" t="str"/>
      <x:c r="I9" s="84" t="str"/>
      <x:c r="J9" s="84" t="str"/>
      <x:c r="K9" s="98" t="n">
        <x:v>0</x:v>
      </x:c>
      <x:c r="L9" s="98" t="n">
        <x:v>0</x:v>
      </x:c>
      <x:c r="M9" s="98" t="n">
        <x:f>K9*L9</x:f>
        <x:v>0</x:v>
      </x:c>
      <x:c r="N9" s="84" t="str"/>
      <x:c r="O9" s="84" t="str"/>
      <x:c r="P9" s="91" t="str">
        <x:v>Not Checked</x:v>
      </x:c>
    </x:row>
    <x:row r="10">
      <x:c r="A10" s="82" t="str"/>
      <x:c r="B10" s="84" t="n">
        <x:v>0</x:v>
      </x:c>
      <x:c r="C10" s="84" t="str"/>
      <x:c r="D10" s="84" t="str"/>
      <x:c r="E10" s="84" t="str"/>
      <x:c r="F10" s="84" t="str"/>
      <x:c r="G10" s="84" t="str">
        <x:v>Sell</x:v>
      </x:c>
      <x:c r="H10" s="84" t="str"/>
      <x:c r="I10" s="84" t="str"/>
      <x:c r="J10" s="84" t="str"/>
      <x:c r="K10" s="98" t="n">
        <x:v>0</x:v>
      </x:c>
      <x:c r="L10" s="98" t="n">
        <x:v>0</x:v>
      </x:c>
      <x:c r="M10" s="98" t="n">
        <x:f>K10*L10</x:f>
        <x:v>0</x:v>
      </x:c>
      <x:c r="N10" s="84" t="str"/>
      <x:c r="O10" s="84" t="str"/>
      <x:c r="P10" s="91" t="str">
        <x:v>Not Checked</x:v>
      </x:c>
    </x:row>
    <x:row r="11">
      <x:c r="A11" s="82" t="str"/>
      <x:c r="B11" s="84" t="n">
        <x:v>0</x:v>
      </x:c>
      <x:c r="C11" s="84" t="str"/>
      <x:c r="D11" s="84" t="str"/>
      <x:c r="E11" s="84" t="str"/>
      <x:c r="F11" s="84" t="str"/>
      <x:c r="G11" s="84" t="str">
        <x:v>Sell</x:v>
      </x:c>
      <x:c r="H11" s="84" t="str"/>
      <x:c r="I11" s="84" t="str"/>
      <x:c r="J11" s="84" t="str"/>
      <x:c r="K11" s="98" t="n">
        <x:v>0</x:v>
      </x:c>
      <x:c r="L11" s="98" t="n">
        <x:v>0</x:v>
      </x:c>
      <x:c r="M11" s="98" t="n">
        <x:f>K11*L11</x:f>
        <x:v>0</x:v>
      </x:c>
      <x:c r="N11" s="84" t="str"/>
      <x:c r="O11" s="84" t="str"/>
      <x:c r="P11" s="91" t="str">
        <x:v>Not Checked</x:v>
      </x:c>
    </x:row>
    <x:row r="12">
      <x:c r="A12" s="82" t="str"/>
      <x:c r="B12" s="84" t="n">
        <x:v>0</x:v>
      </x:c>
      <x:c r="C12" s="84" t="str"/>
      <x:c r="D12" s="84" t="str"/>
      <x:c r="E12" s="84" t="str"/>
      <x:c r="F12" s="84" t="str"/>
      <x:c r="G12" s="84" t="str">
        <x:v>Sell</x:v>
      </x:c>
      <x:c r="H12" s="84" t="str"/>
      <x:c r="I12" s="84" t="str"/>
      <x:c r="J12" s="84" t="str"/>
      <x:c r="K12" s="98" t="n">
        <x:v>0</x:v>
      </x:c>
      <x:c r="L12" s="98" t="n">
        <x:v>0</x:v>
      </x:c>
      <x:c r="M12" s="98" t="n">
        <x:f>K12*L12</x:f>
        <x:v>0</x:v>
      </x:c>
      <x:c r="N12" s="84" t="str"/>
      <x:c r="O12" s="84" t="str"/>
      <x:c r="P12" s="91" t="str">
        <x:v>Not Checked</x:v>
      </x:c>
    </x:row>
    <x:row r="13">
      <x:c r="A13" s="82" t="str"/>
      <x:c r="B13" s="84" t="n">
        <x:v>0</x:v>
      </x:c>
      <x:c r="C13" s="84" t="str"/>
      <x:c r="D13" s="84" t="str"/>
      <x:c r="E13" s="84" t="str"/>
      <x:c r="F13" s="84" t="str"/>
      <x:c r="G13" s="84" t="str">
        <x:v>Sell</x:v>
      </x:c>
      <x:c r="H13" s="84" t="str"/>
      <x:c r="I13" s="84" t="str"/>
      <x:c r="J13" s="84" t="str"/>
      <x:c r="K13" s="98" t="n">
        <x:v>0</x:v>
      </x:c>
      <x:c r="L13" s="98" t="n">
        <x:v>0</x:v>
      </x:c>
      <x:c r="M13" s="98" t="n">
        <x:f>K13*L13</x:f>
        <x:v>0</x:v>
      </x:c>
      <x:c r="N13" s="84" t="str"/>
      <x:c r="O13" s="84" t="str"/>
      <x:c r="P13" s="91" t="str">
        <x:v>Not Checked</x:v>
      </x:c>
    </x:row>
    <x:row r="14">
      <x:c r="A14" s="82" t="str"/>
      <x:c r="B14" s="84" t="n">
        <x:v>0</x:v>
      </x:c>
      <x:c r="C14" s="84" t="str"/>
      <x:c r="D14" s="84" t="str"/>
      <x:c r="E14" s="84" t="str"/>
      <x:c r="F14" s="84" t="str"/>
      <x:c r="G14" s="84" t="str">
        <x:v>Sell</x:v>
      </x:c>
      <x:c r="H14" s="84" t="str"/>
      <x:c r="I14" s="84" t="str"/>
      <x:c r="J14" s="84" t="str"/>
      <x:c r="K14" s="98" t="n">
        <x:v>0</x:v>
      </x:c>
      <x:c r="L14" s="98" t="n">
        <x:v>0</x:v>
      </x:c>
      <x:c r="M14" s="98" t="n">
        <x:f>K14*L14</x:f>
        <x:v>0</x:v>
      </x:c>
      <x:c r="N14" s="84" t="str"/>
      <x:c r="O14" s="84" t="str"/>
      <x:c r="P14" s="91" t="str">
        <x:v>Not Checked</x:v>
      </x:c>
    </x:row>
    <x:row r="15">
      <x:c r="A15" s="82" t="str"/>
      <x:c r="B15" s="84" t="n">
        <x:v>0</x:v>
      </x:c>
      <x:c r="C15" s="84" t="str"/>
      <x:c r="D15" s="84" t="str"/>
      <x:c r="E15" s="84" t="str"/>
      <x:c r="F15" s="84" t="str"/>
      <x:c r="G15" s="84" t="str">
        <x:v>Sell</x:v>
      </x:c>
      <x:c r="H15" s="84" t="str"/>
      <x:c r="I15" s="84" t="str"/>
      <x:c r="J15" s="84" t="str"/>
      <x:c r="K15" s="98" t="n">
        <x:v>0</x:v>
      </x:c>
      <x:c r="L15" s="98" t="n">
        <x:v>0</x:v>
      </x:c>
      <x:c r="M15" s="98" t="n">
        <x:f>K15*L15</x:f>
        <x:v>0</x:v>
      </x:c>
      <x:c r="N15" s="84" t="str"/>
      <x:c r="O15" s="84" t="str"/>
      <x:c r="P15" s="91" t="str">
        <x:v>Not Checked</x:v>
      </x:c>
    </x:row>
    <x:row r="16">
      <x:c r="A16" s="82" t="str"/>
      <x:c r="B16" s="84" t="n">
        <x:v>0</x:v>
      </x:c>
      <x:c r="C16" s="84" t="str"/>
      <x:c r="D16" s="84" t="str"/>
      <x:c r="E16" s="84" t="str"/>
      <x:c r="F16" s="84" t="str"/>
      <x:c r="G16" s="84" t="str">
        <x:v>Sell</x:v>
      </x:c>
      <x:c r="H16" s="84" t="str"/>
      <x:c r="I16" s="84" t="str"/>
      <x:c r="J16" s="84" t="str"/>
      <x:c r="K16" s="98" t="n">
        <x:v>0</x:v>
      </x:c>
      <x:c r="L16" s="98" t="n">
        <x:v>0</x:v>
      </x:c>
      <x:c r="M16" s="98" t="n">
        <x:f>K16*L16</x:f>
        <x:v>0</x:v>
      </x:c>
      <x:c r="N16" s="84" t="str"/>
      <x:c r="O16" s="84" t="str"/>
      <x:c r="P16" s="91" t="str">
        <x:v>Not Checked</x:v>
      </x:c>
    </x:row>
    <x:row r="17">
      <x:c r="A17" s="82" t="str"/>
      <x:c r="B17" s="84" t="n">
        <x:v>0</x:v>
      </x:c>
      <x:c r="C17" s="84" t="str"/>
      <x:c r="D17" s="84" t="str"/>
      <x:c r="E17" s="84" t="str"/>
      <x:c r="F17" s="84" t="str"/>
      <x:c r="G17" s="84" t="str">
        <x:v>Sell</x:v>
      </x:c>
      <x:c r="H17" s="84" t="str"/>
      <x:c r="I17" s="84" t="str"/>
      <x:c r="J17" s="84" t="str"/>
      <x:c r="K17" s="98" t="n">
        <x:v>0</x:v>
      </x:c>
      <x:c r="L17" s="98" t="n">
        <x:v>0</x:v>
      </x:c>
      <x:c r="M17" s="98" t="n">
        <x:f>K17*L17</x:f>
        <x:v>0</x:v>
      </x:c>
      <x:c r="N17" s="84" t="str"/>
      <x:c r="O17" s="84" t="str"/>
      <x:c r="P17" s="91" t="str">
        <x:v>Not Checked</x:v>
      </x:c>
    </x:row>
    <x:row r="18">
      <x:c r="A18" s="82" t="str"/>
      <x:c r="B18" s="84" t="n">
        <x:v>0</x:v>
      </x:c>
      <x:c r="C18" s="84" t="str"/>
      <x:c r="D18" s="84" t="str"/>
      <x:c r="E18" s="84" t="str"/>
      <x:c r="F18" s="84" t="str"/>
      <x:c r="G18" s="84" t="str">
        <x:v>Sell</x:v>
      </x:c>
      <x:c r="H18" s="84" t="str"/>
      <x:c r="I18" s="84" t="str"/>
      <x:c r="J18" s="84" t="str"/>
      <x:c r="K18" s="98" t="n">
        <x:v>0</x:v>
      </x:c>
      <x:c r="L18" s="98" t="n">
        <x:v>0</x:v>
      </x:c>
      <x:c r="M18" s="98" t="n">
        <x:f>K18*L18</x:f>
        <x:v>0</x:v>
      </x:c>
      <x:c r="N18" s="84" t="str"/>
      <x:c r="O18" s="84" t="str"/>
      <x:c r="P18" s="91" t="str">
        <x:v>Not Checked</x:v>
      </x:c>
    </x:row>
    <x:row r="19">
      <x:c r="A19" s="82" t="str"/>
      <x:c r="B19" s="84" t="n">
        <x:v>0</x:v>
      </x:c>
      <x:c r="C19" s="84" t="str"/>
      <x:c r="D19" s="84" t="str"/>
      <x:c r="E19" s="84" t="str"/>
      <x:c r="F19" s="84" t="str"/>
      <x:c r="G19" s="84" t="str">
        <x:v>Sell</x:v>
      </x:c>
      <x:c r="H19" s="84" t="str"/>
      <x:c r="I19" s="84" t="str"/>
      <x:c r="J19" s="84" t="str"/>
      <x:c r="K19" s="98" t="n">
        <x:v>0</x:v>
      </x:c>
      <x:c r="L19" s="98" t="n">
        <x:v>0</x:v>
      </x:c>
      <x:c r="M19" s="98" t="n">
        <x:f>K19*L19</x:f>
        <x:v>0</x:v>
      </x:c>
      <x:c r="N19" s="84" t="str"/>
      <x:c r="O19" s="84" t="str"/>
      <x:c r="P19" s="91" t="str">
        <x:v>Not Checked</x:v>
      </x:c>
    </x:row>
    <x:row r="20">
      <x:c r="A20" s="82" t="str"/>
      <x:c r="B20" s="84" t="n">
        <x:v>0</x:v>
      </x:c>
      <x:c r="C20" s="84" t="str"/>
      <x:c r="D20" s="84" t="str"/>
      <x:c r="E20" s="84" t="str"/>
      <x:c r="F20" s="84" t="str"/>
      <x:c r="G20" s="84" t="str">
        <x:v>Sell</x:v>
      </x:c>
      <x:c r="H20" s="84" t="str"/>
      <x:c r="I20" s="84" t="str"/>
      <x:c r="J20" s="84" t="str"/>
      <x:c r="K20" s="98" t="n">
        <x:v>0</x:v>
      </x:c>
      <x:c r="L20" s="98" t="n">
        <x:v>0</x:v>
      </x:c>
      <x:c r="M20" s="98" t="n">
        <x:f>K20*L20</x:f>
        <x:v>0</x:v>
      </x:c>
      <x:c r="N20" s="84" t="str"/>
      <x:c r="O20" s="84" t="str"/>
      <x:c r="P20" s="91" t="str">
        <x:v>Not Checked</x:v>
      </x:c>
    </x:row>
    <x:row r="21">
      <x:c r="A21" s="82" t="str"/>
      <x:c r="B21" s="84" t="n">
        <x:v>0</x:v>
      </x:c>
      <x:c r="C21" s="84" t="str"/>
      <x:c r="D21" s="84" t="str"/>
      <x:c r="E21" s="84" t="str"/>
      <x:c r="F21" s="84" t="str"/>
      <x:c r="G21" s="84" t="str">
        <x:v>Sell</x:v>
      </x:c>
      <x:c r="H21" s="84" t="str"/>
      <x:c r="I21" s="84" t="str"/>
      <x:c r="J21" s="84" t="str"/>
      <x:c r="K21" s="98" t="n">
        <x:v>0</x:v>
      </x:c>
      <x:c r="L21" s="98" t="n">
        <x:v>0</x:v>
      </x:c>
      <x:c r="M21" s="98" t="n">
        <x:f>K21*L21</x:f>
        <x:v>0</x:v>
      </x:c>
      <x:c r="N21" s="84" t="str"/>
      <x:c r="O21" s="84" t="str"/>
      <x:c r="P21" s="91" t="str">
        <x:v>Not Checked</x:v>
      </x:c>
    </x:row>
    <x:row r="22">
      <x:c r="A22" s="82" t="str"/>
      <x:c r="B22" s="84" t="n">
        <x:v>0</x:v>
      </x:c>
      <x:c r="C22" s="84" t="str"/>
      <x:c r="D22" s="84" t="str"/>
      <x:c r="E22" s="84" t="str"/>
      <x:c r="F22" s="84" t="str"/>
      <x:c r="G22" s="84" t="str">
        <x:v>Sell</x:v>
      </x:c>
      <x:c r="H22" s="84" t="str"/>
      <x:c r="I22" s="84" t="str"/>
      <x:c r="J22" s="84" t="str"/>
      <x:c r="K22" s="98" t="n">
        <x:v>0</x:v>
      </x:c>
      <x:c r="L22" s="98" t="n">
        <x:v>0</x:v>
      </x:c>
      <x:c r="M22" s="98" t="n">
        <x:f>K22*L22</x:f>
        <x:v>0</x:v>
      </x:c>
      <x:c r="N22" s="84" t="str"/>
      <x:c r="O22" s="84" t="str"/>
      <x:c r="P22" s="91" t="str">
        <x:v>Not Checked</x:v>
      </x:c>
    </x:row>
    <x:row r="23">
      <x:c r="A23" s="82" t="str"/>
      <x:c r="B23" s="84" t="n">
        <x:v>0</x:v>
      </x:c>
      <x:c r="C23" s="84" t="str"/>
      <x:c r="D23" s="84" t="str"/>
      <x:c r="E23" s="84" t="str"/>
      <x:c r="F23" s="84" t="str"/>
      <x:c r="G23" s="84" t="str">
        <x:v>Sell</x:v>
      </x:c>
      <x:c r="H23" s="84" t="str"/>
      <x:c r="I23" s="84" t="str"/>
      <x:c r="J23" s="84" t="str"/>
      <x:c r="K23" s="98" t="n">
        <x:v>0</x:v>
      </x:c>
      <x:c r="L23" s="98" t="n">
        <x:v>0</x:v>
      </x:c>
      <x:c r="M23" s="98" t="n">
        <x:f>K23*L23</x:f>
        <x:v>0</x:v>
      </x:c>
      <x:c r="N23" s="84" t="str"/>
      <x:c r="O23" s="84" t="str"/>
      <x:c r="P23" s="91" t="str">
        <x:v>Not Checked</x:v>
      </x:c>
    </x:row>
    <x:row r="24">
      <x:c r="A24" s="82" t="str"/>
      <x:c r="B24" s="84" t="n">
        <x:v>0</x:v>
      </x:c>
      <x:c r="C24" s="84" t="str"/>
      <x:c r="D24" s="84" t="str"/>
      <x:c r="E24" s="84" t="str"/>
      <x:c r="F24" s="84" t="str"/>
      <x:c r="G24" s="84" t="str">
        <x:v>Sell</x:v>
      </x:c>
      <x:c r="H24" s="84" t="str"/>
      <x:c r="I24" s="84" t="str"/>
      <x:c r="J24" s="84" t="str"/>
      <x:c r="K24" s="98" t="n">
        <x:v>0</x:v>
      </x:c>
      <x:c r="L24" s="98" t="n">
        <x:v>0</x:v>
      </x:c>
      <x:c r="M24" s="98" t="n">
        <x:f>K24*L24</x:f>
        <x:v>0</x:v>
      </x:c>
      <x:c r="N24" s="84" t="str"/>
      <x:c r="O24" s="84" t="str"/>
      <x:c r="P24" s="91" t="str">
        <x:v>Not Checked</x:v>
      </x:c>
    </x:row>
    <x:row r="25">
      <x:c r="A25" s="82" t="str"/>
      <x:c r="B25" s="84" t="n">
        <x:v>0</x:v>
      </x:c>
      <x:c r="C25" s="84" t="str"/>
      <x:c r="D25" s="84" t="str"/>
      <x:c r="E25" s="84" t="str"/>
      <x:c r="F25" s="84" t="str"/>
      <x:c r="G25" s="84" t="str">
        <x:v>Sell</x:v>
      </x:c>
      <x:c r="H25" s="84" t="str"/>
      <x:c r="I25" s="84" t="str"/>
      <x:c r="J25" s="84" t="str"/>
      <x:c r="K25" s="98" t="n">
        <x:v>0</x:v>
      </x:c>
      <x:c r="L25" s="98" t="n">
        <x:v>0</x:v>
      </x:c>
      <x:c r="M25" s="98" t="n">
        <x:f>K25*L25</x:f>
        <x:v>0</x:v>
      </x:c>
      <x:c r="N25" s="84" t="str"/>
      <x:c r="O25" s="84" t="str"/>
      <x:c r="P25" s="91" t="str">
        <x:v>Not Checked</x:v>
      </x:c>
    </x:row>
    <x:row r="26">
      <x:c r="A26" s="82" t="str"/>
      <x:c r="B26" s="84" t="n">
        <x:v>0</x:v>
      </x:c>
      <x:c r="C26" s="84" t="str"/>
      <x:c r="D26" s="84" t="str"/>
      <x:c r="E26" s="84" t="str"/>
      <x:c r="F26" s="84" t="str"/>
      <x:c r="G26" s="84" t="str">
        <x:v>Sell</x:v>
      </x:c>
      <x:c r="H26" s="84" t="str"/>
      <x:c r="I26" s="84" t="str"/>
      <x:c r="J26" s="84" t="str"/>
      <x:c r="K26" s="98" t="n">
        <x:v>0</x:v>
      </x:c>
      <x:c r="L26" s="98" t="n">
        <x:v>0</x:v>
      </x:c>
      <x:c r="M26" s="98" t="n">
        <x:f>K26*L26</x:f>
        <x:v>0</x:v>
      </x:c>
      <x:c r="N26" s="84" t="str"/>
      <x:c r="O26" s="84" t="str"/>
      <x:c r="P26" s="91" t="str">
        <x:v>Not Checked</x:v>
      </x:c>
    </x:row>
    <x:row r="27">
      <x:c r="A27" s="82" t="str"/>
      <x:c r="B27" s="84" t="n">
        <x:v>0</x:v>
      </x:c>
      <x:c r="C27" s="84" t="str"/>
      <x:c r="D27" s="84" t="str"/>
      <x:c r="E27" s="84" t="str"/>
      <x:c r="F27" s="84" t="str"/>
      <x:c r="G27" s="84" t="str">
        <x:v>Sell</x:v>
      </x:c>
      <x:c r="H27" s="84" t="str"/>
      <x:c r="I27" s="84" t="str"/>
      <x:c r="J27" s="84" t="str"/>
      <x:c r="K27" s="98" t="n">
        <x:v>0</x:v>
      </x:c>
      <x:c r="L27" s="98" t="n">
        <x:v>0</x:v>
      </x:c>
      <x:c r="M27" s="98" t="n">
        <x:f>K27*L27</x:f>
        <x:v>0</x:v>
      </x:c>
      <x:c r="N27" s="84" t="str"/>
      <x:c r="O27" s="84" t="str"/>
      <x:c r="P27" s="91" t="str">
        <x:v>Not Checked</x:v>
      </x:c>
    </x:row>
    <x:row r="28">
      <x:c r="A28" s="82" t="str"/>
      <x:c r="B28" s="84" t="n">
        <x:v>0</x:v>
      </x:c>
      <x:c r="C28" s="84" t="str"/>
      <x:c r="D28" s="84" t="str"/>
      <x:c r="E28" s="84" t="str"/>
      <x:c r="F28" s="84" t="str"/>
      <x:c r="G28" s="84" t="str">
        <x:v>Sell</x:v>
      </x:c>
      <x:c r="H28" s="84" t="str"/>
      <x:c r="I28" s="84" t="str"/>
      <x:c r="J28" s="84" t="str"/>
      <x:c r="K28" s="98" t="n">
        <x:v>0</x:v>
      </x:c>
      <x:c r="L28" s="98" t="n">
        <x:v>0</x:v>
      </x:c>
      <x:c r="M28" s="98" t="n">
        <x:f>K28*L28</x:f>
        <x:v>0</x:v>
      </x:c>
      <x:c r="N28" s="84" t="str"/>
      <x:c r="O28" s="84" t="str"/>
      <x:c r="P28" s="91" t="str">
        <x:v>Not Checked</x:v>
      </x:c>
    </x:row>
    <x:row r="29">
      <x:c r="A29" s="86" t="str"/>
      <x:c r="B29" s="87" t="n">
        <x:v>0</x:v>
      </x:c>
      <x:c r="C29" s="87" t="str"/>
      <x:c r="D29" s="87" t="str"/>
      <x:c r="E29" s="87" t="str"/>
      <x:c r="F29" s="87" t="str"/>
      <x:c r="G29" s="87" t="str">
        <x:v>Sell</x:v>
      </x:c>
      <x:c r="H29" s="87" t="str"/>
      <x:c r="I29" s="87" t="str"/>
      <x:c r="J29" s="87" t="str"/>
      <x:c r="K29" s="99" t="n">
        <x:v>0</x:v>
      </x:c>
      <x:c r="L29" s="99" t="n">
        <x:v>0</x:v>
      </x:c>
      <x:c r="M29" s="99" t="n">
        <x:f>K29*L29</x:f>
        <x:v>0</x:v>
      </x:c>
      <x:c r="N29" s="87" t="str"/>
      <x:c r="O29" s="87" t="str"/>
      <x:c r="P29" s="92" t="str">
        <x:v>Not Checked</x:v>
      </x:c>
    </x:row>
  </x:sheetData>
  <x:mergeCells>
    <x:mergeCell ref="A1:P1"/>
    <x:mergeCell ref="A2:P2"/>
  </x:mergeCells>
  <x:dataValidations count="2">
    <x:dataValidation type="list" sqref="G5:G29">
      <x:formula1>"Sell,Cost"</x:formula1>
    </x:dataValidation>
    <x:dataValidation type="list" sqref="P5:P29">
      <x:formula1>"Not Checked,Valid,Rejected"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0" customHeight="1">
      <x:c r="A1" s="93" t="str">
        <x:v>Open Transaction Staging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</x:row>
    <x:row r="2" ht="32" customHeight="1">
      <x:c r="A2" s="73" t="str">
        <x:v>Load only open, reconciled source positions after the related master data. Draft standard documents remain under Finance/Operations control.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 ht="28" customHeight="1">
      <x:c r="A4" s="75" t="str">
        <x:v>Document type</x:v>
      </x:c>
      <x:c r="B4" s="77" t="str">
        <x:v>External ID</x:v>
      </x:c>
      <x:c r="C4" s="77" t="str">
        <x:v>Company code</x:v>
      </x:c>
      <x:c r="D4" s="77" t="str">
        <x:v>Project code</x:v>
      </x:c>
      <x:c r="E4" s="77" t="str">
        <x:v>Contract external ID</x:v>
      </x:c>
      <x:c r="F4" s="77" t="str">
        <x:v>Partner external ID</x:v>
      </x:c>
      <x:c r="G4" s="77" t="str">
        <x:v>Document date</x:v>
      </x:c>
      <x:c r="H4" s="77" t="str">
        <x:v>Due date</x:v>
      </x:c>
      <x:c r="I4" s="77" t="str">
        <x:v>Currency</x:v>
      </x:c>
      <x:c r="J4" s="77" t="str">
        <x:v>Gross amount</x:v>
      </x:c>
      <x:c r="K4" s="77" t="str">
        <x:v>Open amount</x:v>
      </x:c>
      <x:c r="L4" s="77" t="str">
        <x:v>Source state</x:v>
      </x:c>
      <x:c r="M4" s="77" t="str">
        <x:v>Source reference</x:v>
      </x:c>
      <x:c r="N4" s="76" t="str">
        <x:v>Validation status</x:v>
      </x:c>
    </x:row>
    <x:row r="5">
      <x:c r="A5" s="78" t="str"/>
      <x:c r="B5" s="80" t="str"/>
      <x:c r="C5" s="80" t="str"/>
      <x:c r="D5" s="80" t="str"/>
      <x:c r="E5" s="80" t="str"/>
      <x:c r="F5" s="80" t="str"/>
      <x:c r="G5" s="100"/>
      <x:c r="H5" s="100"/>
      <x:c r="I5" s="80" t="str"/>
      <x:c r="J5" s="97" t="n">
        <x:v>0</x:v>
      </x:c>
      <x:c r="K5" s="97" t="n">
        <x:v>0</x:v>
      </x:c>
      <x:c r="L5" s="80" t="str"/>
      <x:c r="M5" s="80" t="str"/>
      <x:c r="N5" s="90" t="str">
        <x:v>Not Checked</x:v>
      </x:c>
    </x:row>
    <x:row r="6">
      <x:c r="A6" s="82" t="str"/>
      <x:c r="B6" s="84" t="str"/>
      <x:c r="C6" s="84" t="str"/>
      <x:c r="D6" s="84" t="str"/>
      <x:c r="E6" s="84" t="str"/>
      <x:c r="F6" s="84" t="str"/>
      <x:c r="G6" s="101"/>
      <x:c r="H6" s="101"/>
      <x:c r="I6" s="84" t="str"/>
      <x:c r="J6" s="98" t="n">
        <x:v>0</x:v>
      </x:c>
      <x:c r="K6" s="98" t="n">
        <x:v>0</x:v>
      </x:c>
      <x:c r="L6" s="84" t="str"/>
      <x:c r="M6" s="84" t="str"/>
      <x:c r="N6" s="91" t="str">
        <x:v>Not Checked</x:v>
      </x:c>
    </x:row>
    <x:row r="7">
      <x:c r="A7" s="82" t="str"/>
      <x:c r="B7" s="84" t="str"/>
      <x:c r="C7" s="84" t="str"/>
      <x:c r="D7" s="84" t="str"/>
      <x:c r="E7" s="84" t="str"/>
      <x:c r="F7" s="84" t="str"/>
      <x:c r="G7" s="101"/>
      <x:c r="H7" s="101"/>
      <x:c r="I7" s="84" t="str"/>
      <x:c r="J7" s="98" t="n">
        <x:v>0</x:v>
      </x:c>
      <x:c r="K7" s="98" t="n">
        <x:v>0</x:v>
      </x:c>
      <x:c r="L7" s="84" t="str"/>
      <x:c r="M7" s="84" t="str"/>
      <x:c r="N7" s="91" t="str">
        <x:v>Not Checked</x:v>
      </x:c>
    </x:row>
    <x:row r="8">
      <x:c r="A8" s="82" t="str"/>
      <x:c r="B8" s="84" t="str"/>
      <x:c r="C8" s="84" t="str"/>
      <x:c r="D8" s="84" t="str"/>
      <x:c r="E8" s="84" t="str"/>
      <x:c r="F8" s="84" t="str"/>
      <x:c r="G8" s="101"/>
      <x:c r="H8" s="101"/>
      <x:c r="I8" s="84" t="str"/>
      <x:c r="J8" s="98" t="n">
        <x:v>0</x:v>
      </x:c>
      <x:c r="K8" s="98" t="n">
        <x:v>0</x:v>
      </x:c>
      <x:c r="L8" s="84" t="str"/>
      <x:c r="M8" s="84" t="str"/>
      <x:c r="N8" s="91" t="str">
        <x:v>Not Checked</x:v>
      </x:c>
    </x:row>
    <x:row r="9">
      <x:c r="A9" s="82" t="str"/>
      <x:c r="B9" s="84" t="str"/>
      <x:c r="C9" s="84" t="str"/>
      <x:c r="D9" s="84" t="str"/>
      <x:c r="E9" s="84" t="str"/>
      <x:c r="F9" s="84" t="str"/>
      <x:c r="G9" s="101"/>
      <x:c r="H9" s="101"/>
      <x:c r="I9" s="84" t="str"/>
      <x:c r="J9" s="98" t="n">
        <x:v>0</x:v>
      </x:c>
      <x:c r="K9" s="98" t="n">
        <x:v>0</x:v>
      </x:c>
      <x:c r="L9" s="84" t="str"/>
      <x:c r="M9" s="84" t="str"/>
      <x:c r="N9" s="91" t="str">
        <x:v>Not Checked</x:v>
      </x:c>
    </x:row>
    <x:row r="10">
      <x:c r="A10" s="82" t="str"/>
      <x:c r="B10" s="84" t="str"/>
      <x:c r="C10" s="84" t="str"/>
      <x:c r="D10" s="84" t="str"/>
      <x:c r="E10" s="84" t="str"/>
      <x:c r="F10" s="84" t="str"/>
      <x:c r="G10" s="101"/>
      <x:c r="H10" s="101"/>
      <x:c r="I10" s="84" t="str"/>
      <x:c r="J10" s="98" t="n">
        <x:v>0</x:v>
      </x:c>
      <x:c r="K10" s="98" t="n">
        <x:v>0</x:v>
      </x:c>
      <x:c r="L10" s="84" t="str"/>
      <x:c r="M10" s="84" t="str"/>
      <x:c r="N10" s="91" t="str">
        <x:v>Not Checked</x:v>
      </x:c>
    </x:row>
    <x:row r="11">
      <x:c r="A11" s="82" t="str"/>
      <x:c r="B11" s="84" t="str"/>
      <x:c r="C11" s="84" t="str"/>
      <x:c r="D11" s="84" t="str"/>
      <x:c r="E11" s="84" t="str"/>
      <x:c r="F11" s="84" t="str"/>
      <x:c r="G11" s="101"/>
      <x:c r="H11" s="101"/>
      <x:c r="I11" s="84" t="str"/>
      <x:c r="J11" s="98" t="n">
        <x:v>0</x:v>
      </x:c>
      <x:c r="K11" s="98" t="n">
        <x:v>0</x:v>
      </x:c>
      <x:c r="L11" s="84" t="str"/>
      <x:c r="M11" s="84" t="str"/>
      <x:c r="N11" s="91" t="str">
        <x:v>Not Checked</x:v>
      </x:c>
    </x:row>
    <x:row r="12">
      <x:c r="A12" s="82" t="str"/>
      <x:c r="B12" s="84" t="str"/>
      <x:c r="C12" s="84" t="str"/>
      <x:c r="D12" s="84" t="str"/>
      <x:c r="E12" s="84" t="str"/>
      <x:c r="F12" s="84" t="str"/>
      <x:c r="G12" s="101"/>
      <x:c r="H12" s="101"/>
      <x:c r="I12" s="84" t="str"/>
      <x:c r="J12" s="98" t="n">
        <x:v>0</x:v>
      </x:c>
      <x:c r="K12" s="98" t="n">
        <x:v>0</x:v>
      </x:c>
      <x:c r="L12" s="84" t="str"/>
      <x:c r="M12" s="84" t="str"/>
      <x:c r="N12" s="91" t="str">
        <x:v>Not Checked</x:v>
      </x:c>
    </x:row>
    <x:row r="13">
      <x:c r="A13" s="82" t="str"/>
      <x:c r="B13" s="84" t="str"/>
      <x:c r="C13" s="84" t="str"/>
      <x:c r="D13" s="84" t="str"/>
      <x:c r="E13" s="84" t="str"/>
      <x:c r="F13" s="84" t="str"/>
      <x:c r="G13" s="101"/>
      <x:c r="H13" s="101"/>
      <x:c r="I13" s="84" t="str"/>
      <x:c r="J13" s="98" t="n">
        <x:v>0</x:v>
      </x:c>
      <x:c r="K13" s="98" t="n">
        <x:v>0</x:v>
      </x:c>
      <x:c r="L13" s="84" t="str"/>
      <x:c r="M13" s="84" t="str"/>
      <x:c r="N13" s="91" t="str">
        <x:v>Not Checked</x:v>
      </x:c>
    </x:row>
    <x:row r="14">
      <x:c r="A14" s="82" t="str"/>
      <x:c r="B14" s="84" t="str"/>
      <x:c r="C14" s="84" t="str"/>
      <x:c r="D14" s="84" t="str"/>
      <x:c r="E14" s="84" t="str"/>
      <x:c r="F14" s="84" t="str"/>
      <x:c r="G14" s="101"/>
      <x:c r="H14" s="101"/>
      <x:c r="I14" s="84" t="str"/>
      <x:c r="J14" s="98" t="n">
        <x:v>0</x:v>
      </x:c>
      <x:c r="K14" s="98" t="n">
        <x:v>0</x:v>
      </x:c>
      <x:c r="L14" s="84" t="str"/>
      <x:c r="M14" s="84" t="str"/>
      <x:c r="N14" s="91" t="str">
        <x:v>Not Checked</x:v>
      </x:c>
    </x:row>
    <x:row r="15">
      <x:c r="A15" s="82" t="str"/>
      <x:c r="B15" s="84" t="str"/>
      <x:c r="C15" s="84" t="str"/>
      <x:c r="D15" s="84" t="str"/>
      <x:c r="E15" s="84" t="str"/>
      <x:c r="F15" s="84" t="str"/>
      <x:c r="G15" s="101"/>
      <x:c r="H15" s="101"/>
      <x:c r="I15" s="84" t="str"/>
      <x:c r="J15" s="98" t="n">
        <x:v>0</x:v>
      </x:c>
      <x:c r="K15" s="98" t="n">
        <x:v>0</x:v>
      </x:c>
      <x:c r="L15" s="84" t="str"/>
      <x:c r="M15" s="84" t="str"/>
      <x:c r="N15" s="91" t="str">
        <x:v>Not Checked</x:v>
      </x:c>
    </x:row>
    <x:row r="16">
      <x:c r="A16" s="82" t="str"/>
      <x:c r="B16" s="84" t="str"/>
      <x:c r="C16" s="84" t="str"/>
      <x:c r="D16" s="84" t="str"/>
      <x:c r="E16" s="84" t="str"/>
      <x:c r="F16" s="84" t="str"/>
      <x:c r="G16" s="101"/>
      <x:c r="H16" s="101"/>
      <x:c r="I16" s="84" t="str"/>
      <x:c r="J16" s="98" t="n">
        <x:v>0</x:v>
      </x:c>
      <x:c r="K16" s="98" t="n">
        <x:v>0</x:v>
      </x:c>
      <x:c r="L16" s="84" t="str"/>
      <x:c r="M16" s="84" t="str"/>
      <x:c r="N16" s="91" t="str">
        <x:v>Not Checked</x:v>
      </x:c>
    </x:row>
    <x:row r="17">
      <x:c r="A17" s="82" t="str"/>
      <x:c r="B17" s="84" t="str"/>
      <x:c r="C17" s="84" t="str"/>
      <x:c r="D17" s="84" t="str"/>
      <x:c r="E17" s="84" t="str"/>
      <x:c r="F17" s="84" t="str"/>
      <x:c r="G17" s="101"/>
      <x:c r="H17" s="101"/>
      <x:c r="I17" s="84" t="str"/>
      <x:c r="J17" s="98" t="n">
        <x:v>0</x:v>
      </x:c>
      <x:c r="K17" s="98" t="n">
        <x:v>0</x:v>
      </x:c>
      <x:c r="L17" s="84" t="str"/>
      <x:c r="M17" s="84" t="str"/>
      <x:c r="N17" s="91" t="str">
        <x:v>Not Checked</x:v>
      </x:c>
    </x:row>
    <x:row r="18">
      <x:c r="A18" s="82" t="str"/>
      <x:c r="B18" s="84" t="str"/>
      <x:c r="C18" s="84" t="str"/>
      <x:c r="D18" s="84" t="str"/>
      <x:c r="E18" s="84" t="str"/>
      <x:c r="F18" s="84" t="str"/>
      <x:c r="G18" s="101"/>
      <x:c r="H18" s="101"/>
      <x:c r="I18" s="84" t="str"/>
      <x:c r="J18" s="98" t="n">
        <x:v>0</x:v>
      </x:c>
      <x:c r="K18" s="98" t="n">
        <x:v>0</x:v>
      </x:c>
      <x:c r="L18" s="84" t="str"/>
      <x:c r="M18" s="84" t="str"/>
      <x:c r="N18" s="91" t="str">
        <x:v>Not Checked</x:v>
      </x:c>
    </x:row>
    <x:row r="19">
      <x:c r="A19" s="82" t="str"/>
      <x:c r="B19" s="84" t="str"/>
      <x:c r="C19" s="84" t="str"/>
      <x:c r="D19" s="84" t="str"/>
      <x:c r="E19" s="84" t="str"/>
      <x:c r="F19" s="84" t="str"/>
      <x:c r="G19" s="101"/>
      <x:c r="H19" s="101"/>
      <x:c r="I19" s="84" t="str"/>
      <x:c r="J19" s="98" t="n">
        <x:v>0</x:v>
      </x:c>
      <x:c r="K19" s="98" t="n">
        <x:v>0</x:v>
      </x:c>
      <x:c r="L19" s="84" t="str"/>
      <x:c r="M19" s="84" t="str"/>
      <x:c r="N19" s="91" t="str">
        <x:v>Not Checked</x:v>
      </x:c>
    </x:row>
    <x:row r="20">
      <x:c r="A20" s="82" t="str"/>
      <x:c r="B20" s="84" t="str"/>
      <x:c r="C20" s="84" t="str"/>
      <x:c r="D20" s="84" t="str"/>
      <x:c r="E20" s="84" t="str"/>
      <x:c r="F20" s="84" t="str"/>
      <x:c r="G20" s="101"/>
      <x:c r="H20" s="101"/>
      <x:c r="I20" s="84" t="str"/>
      <x:c r="J20" s="98" t="n">
        <x:v>0</x:v>
      </x:c>
      <x:c r="K20" s="98" t="n">
        <x:v>0</x:v>
      </x:c>
      <x:c r="L20" s="84" t="str"/>
      <x:c r="M20" s="84" t="str"/>
      <x:c r="N20" s="91" t="str">
        <x:v>Not Checked</x:v>
      </x:c>
    </x:row>
    <x:row r="21">
      <x:c r="A21" s="82" t="str"/>
      <x:c r="B21" s="84" t="str"/>
      <x:c r="C21" s="84" t="str"/>
      <x:c r="D21" s="84" t="str"/>
      <x:c r="E21" s="84" t="str"/>
      <x:c r="F21" s="84" t="str"/>
      <x:c r="G21" s="101"/>
      <x:c r="H21" s="101"/>
      <x:c r="I21" s="84" t="str"/>
      <x:c r="J21" s="98" t="n">
        <x:v>0</x:v>
      </x:c>
      <x:c r="K21" s="98" t="n">
        <x:v>0</x:v>
      </x:c>
      <x:c r="L21" s="84" t="str"/>
      <x:c r="M21" s="84" t="str"/>
      <x:c r="N21" s="91" t="str">
        <x:v>Not Checked</x:v>
      </x:c>
    </x:row>
    <x:row r="22">
      <x:c r="A22" s="82" t="str"/>
      <x:c r="B22" s="84" t="str"/>
      <x:c r="C22" s="84" t="str"/>
      <x:c r="D22" s="84" t="str"/>
      <x:c r="E22" s="84" t="str"/>
      <x:c r="F22" s="84" t="str"/>
      <x:c r="G22" s="101"/>
      <x:c r="H22" s="101"/>
      <x:c r="I22" s="84" t="str"/>
      <x:c r="J22" s="98" t="n">
        <x:v>0</x:v>
      </x:c>
      <x:c r="K22" s="98" t="n">
        <x:v>0</x:v>
      </x:c>
      <x:c r="L22" s="84" t="str"/>
      <x:c r="M22" s="84" t="str"/>
      <x:c r="N22" s="91" t="str">
        <x:v>Not Checked</x:v>
      </x:c>
    </x:row>
    <x:row r="23">
      <x:c r="A23" s="82" t="str"/>
      <x:c r="B23" s="84" t="str"/>
      <x:c r="C23" s="84" t="str"/>
      <x:c r="D23" s="84" t="str"/>
      <x:c r="E23" s="84" t="str"/>
      <x:c r="F23" s="84" t="str"/>
      <x:c r="G23" s="101"/>
      <x:c r="H23" s="101"/>
      <x:c r="I23" s="84" t="str"/>
      <x:c r="J23" s="98" t="n">
        <x:v>0</x:v>
      </x:c>
      <x:c r="K23" s="98" t="n">
        <x:v>0</x:v>
      </x:c>
      <x:c r="L23" s="84" t="str"/>
      <x:c r="M23" s="84" t="str"/>
      <x:c r="N23" s="91" t="str">
        <x:v>Not Checked</x:v>
      </x:c>
    </x:row>
    <x:row r="24">
      <x:c r="A24" s="82" t="str"/>
      <x:c r="B24" s="84" t="str"/>
      <x:c r="C24" s="84" t="str"/>
      <x:c r="D24" s="84" t="str"/>
      <x:c r="E24" s="84" t="str"/>
      <x:c r="F24" s="84" t="str"/>
      <x:c r="G24" s="101"/>
      <x:c r="H24" s="101"/>
      <x:c r="I24" s="84" t="str"/>
      <x:c r="J24" s="98" t="n">
        <x:v>0</x:v>
      </x:c>
      <x:c r="K24" s="98" t="n">
        <x:v>0</x:v>
      </x:c>
      <x:c r="L24" s="84" t="str"/>
      <x:c r="M24" s="84" t="str"/>
      <x:c r="N24" s="91" t="str">
        <x:v>Not Checked</x:v>
      </x:c>
    </x:row>
    <x:row r="25">
      <x:c r="A25" s="82" t="str"/>
      <x:c r="B25" s="84" t="str"/>
      <x:c r="C25" s="84" t="str"/>
      <x:c r="D25" s="84" t="str"/>
      <x:c r="E25" s="84" t="str"/>
      <x:c r="F25" s="84" t="str"/>
      <x:c r="G25" s="101"/>
      <x:c r="H25" s="101"/>
      <x:c r="I25" s="84" t="str"/>
      <x:c r="J25" s="98" t="n">
        <x:v>0</x:v>
      </x:c>
      <x:c r="K25" s="98" t="n">
        <x:v>0</x:v>
      </x:c>
      <x:c r="L25" s="84" t="str"/>
      <x:c r="M25" s="84" t="str"/>
      <x:c r="N25" s="91" t="str">
        <x:v>Not Checked</x:v>
      </x:c>
    </x:row>
    <x:row r="26">
      <x:c r="A26" s="82" t="str"/>
      <x:c r="B26" s="84" t="str"/>
      <x:c r="C26" s="84" t="str"/>
      <x:c r="D26" s="84" t="str"/>
      <x:c r="E26" s="84" t="str"/>
      <x:c r="F26" s="84" t="str"/>
      <x:c r="G26" s="101"/>
      <x:c r="H26" s="101"/>
      <x:c r="I26" s="84" t="str"/>
      <x:c r="J26" s="98" t="n">
        <x:v>0</x:v>
      </x:c>
      <x:c r="K26" s="98" t="n">
        <x:v>0</x:v>
      </x:c>
      <x:c r="L26" s="84" t="str"/>
      <x:c r="M26" s="84" t="str"/>
      <x:c r="N26" s="91" t="str">
        <x:v>Not Checked</x:v>
      </x:c>
    </x:row>
    <x:row r="27">
      <x:c r="A27" s="82" t="str"/>
      <x:c r="B27" s="84" t="str"/>
      <x:c r="C27" s="84" t="str"/>
      <x:c r="D27" s="84" t="str"/>
      <x:c r="E27" s="84" t="str"/>
      <x:c r="F27" s="84" t="str"/>
      <x:c r="G27" s="101"/>
      <x:c r="H27" s="101"/>
      <x:c r="I27" s="84" t="str"/>
      <x:c r="J27" s="98" t="n">
        <x:v>0</x:v>
      </x:c>
      <x:c r="K27" s="98" t="n">
        <x:v>0</x:v>
      </x:c>
      <x:c r="L27" s="84" t="str"/>
      <x:c r="M27" s="84" t="str"/>
      <x:c r="N27" s="91" t="str">
        <x:v>Not Checked</x:v>
      </x:c>
    </x:row>
    <x:row r="28">
      <x:c r="A28" s="82" t="str"/>
      <x:c r="B28" s="84" t="str"/>
      <x:c r="C28" s="84" t="str"/>
      <x:c r="D28" s="84" t="str"/>
      <x:c r="E28" s="84" t="str"/>
      <x:c r="F28" s="84" t="str"/>
      <x:c r="G28" s="101"/>
      <x:c r="H28" s="101"/>
      <x:c r="I28" s="84" t="str"/>
      <x:c r="J28" s="98" t="n">
        <x:v>0</x:v>
      </x:c>
      <x:c r="K28" s="98" t="n">
        <x:v>0</x:v>
      </x:c>
      <x:c r="L28" s="84" t="str"/>
      <x:c r="M28" s="84" t="str"/>
      <x:c r="N28" s="91" t="str">
        <x:v>Not Checked</x:v>
      </x:c>
    </x:row>
    <x:row r="29">
      <x:c r="A29" s="86" t="str"/>
      <x:c r="B29" s="87" t="str"/>
      <x:c r="C29" s="87" t="str"/>
      <x:c r="D29" s="87" t="str"/>
      <x:c r="E29" s="87" t="str"/>
      <x:c r="F29" s="87" t="str"/>
      <x:c r="G29" s="102"/>
      <x:c r="H29" s="102"/>
      <x:c r="I29" s="87" t="str"/>
      <x:c r="J29" s="99" t="n">
        <x:v>0</x:v>
      </x:c>
      <x:c r="K29" s="99" t="n">
        <x:v>0</x:v>
      </x:c>
      <x:c r="L29" s="87" t="str"/>
      <x:c r="M29" s="87" t="str"/>
      <x:c r="N29" s="92" t="str">
        <x:v>Not Checked</x:v>
      </x:c>
    </x:row>
  </x:sheetData>
  <x:mergeCells>
    <x:mergeCell ref="A1:N1"/>
    <x:mergeCell ref="A2:N2"/>
  </x:mergeCells>
  <x:dataValidations count="2">
    <x:dataValidation type="list" sqref="A5:A29">
      <x:formula1>"Purchase Order,Subcontract,IPC,Vendor Bill,Customer Advance,Supplier Advance,Retention Receivable,Retention Payable,Guarantee"</x:formula1>
    </x:dataValidation>
    <x:dataValidation type="list" sqref="N5:N29">
      <x:formula1>"Not Checked,Valid,Rejected"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30" customHeight="1">
      <x:c r="A1" s="93" t="str">
        <x:v>Opening Balance Staging — Approval Required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</x:row>
    <x:row r="2" ht="32" customHeight="1">
      <x:c r="A2" s="73" t="str">
        <x:v>HIGH RISK: do not import or post until Finance approves accounts, journals, dates, currencies, analytic dimensions and reconciliation.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</x:row>
    <x:row r="4" ht="28" customHeight="1">
      <x:c r="A4" s="75" t="str">
        <x:v>Batch</x:v>
      </x:c>
      <x:c r="B4" s="77" t="str">
        <x:v>Line external ID</x:v>
      </x:c>
      <x:c r="C4" s="77" t="str">
        <x:v>Company code</x:v>
      </x:c>
      <x:c r="D4" s="77" t="str">
        <x:v>Journal code</x:v>
      </x:c>
      <x:c r="E4" s="77" t="str">
        <x:v>Accounting date</x:v>
      </x:c>
      <x:c r="F4" s="77" t="str">
        <x:v>Account code</x:v>
      </x:c>
      <x:c r="G4" s="77" t="str">
        <x:v>Partner external ID</x:v>
      </x:c>
      <x:c r="H4" s="77" t="str">
        <x:v>Currency</x:v>
      </x:c>
      <x:c r="I4" s="77" t="str">
        <x:v>Amount currency</x:v>
      </x:c>
      <x:c r="J4" s="77" t="str">
        <x:v>Debit</x:v>
      </x:c>
      <x:c r="K4" s="77" t="str">
        <x:v>Credit</x:v>
      </x:c>
      <x:c r="L4" s="77" t="str">
        <x:v>Project code</x:v>
      </x:c>
      <x:c r="M4" s="77" t="str">
        <x:v>Analytic account</x:v>
      </x:c>
      <x:c r="N4" s="77" t="str">
        <x:v>Cost code</x:v>
      </x:c>
      <x:c r="O4" s="77" t="str">
        <x:v>Source reference</x:v>
      </x:c>
      <x:c r="P4" s="76" t="str">
        <x:v>Approval status</x:v>
      </x:c>
    </x:row>
    <x:row r="5">
      <x:c r="A5" s="78" t="str"/>
      <x:c r="B5" s="80" t="str"/>
      <x:c r="C5" s="80" t="str"/>
      <x:c r="D5" s="80" t="str"/>
      <x:c r="E5" s="100"/>
      <x:c r="F5" s="80" t="str"/>
      <x:c r="G5" s="80" t="str"/>
      <x:c r="H5" s="80" t="str"/>
      <x:c r="I5" s="97" t="n">
        <x:v>0</x:v>
      </x:c>
      <x:c r="J5" s="97" t="n">
        <x:v>0</x:v>
      </x:c>
      <x:c r="K5" s="97" t="n">
        <x:v>0</x:v>
      </x:c>
      <x:c r="L5" s="80" t="str"/>
      <x:c r="M5" s="80" t="str"/>
      <x:c r="N5" s="80" t="str"/>
      <x:c r="O5" s="80" t="str"/>
      <x:c r="P5" s="90" t="str">
        <x:v>Blocked</x:v>
      </x:c>
    </x:row>
    <x:row r="6">
      <x:c r="A6" s="82" t="str"/>
      <x:c r="B6" s="84" t="str"/>
      <x:c r="C6" s="84" t="str"/>
      <x:c r="D6" s="84" t="str"/>
      <x:c r="E6" s="101"/>
      <x:c r="F6" s="84" t="str"/>
      <x:c r="G6" s="84" t="str"/>
      <x:c r="H6" s="84" t="str"/>
      <x:c r="I6" s="98" t="n">
        <x:v>0</x:v>
      </x:c>
      <x:c r="J6" s="98" t="n">
        <x:v>0</x:v>
      </x:c>
      <x:c r="K6" s="98" t="n">
        <x:v>0</x:v>
      </x:c>
      <x:c r="L6" s="84" t="str"/>
      <x:c r="M6" s="84" t="str"/>
      <x:c r="N6" s="84" t="str"/>
      <x:c r="O6" s="84" t="str"/>
      <x:c r="P6" s="91" t="str">
        <x:v>Blocked</x:v>
      </x:c>
    </x:row>
    <x:row r="7">
      <x:c r="A7" s="82" t="str"/>
      <x:c r="B7" s="84" t="str"/>
      <x:c r="C7" s="84" t="str"/>
      <x:c r="D7" s="84" t="str"/>
      <x:c r="E7" s="101"/>
      <x:c r="F7" s="84" t="str"/>
      <x:c r="G7" s="84" t="str"/>
      <x:c r="H7" s="84" t="str"/>
      <x:c r="I7" s="98" t="n">
        <x:v>0</x:v>
      </x:c>
      <x:c r="J7" s="98" t="n">
        <x:v>0</x:v>
      </x:c>
      <x:c r="K7" s="98" t="n">
        <x:v>0</x:v>
      </x:c>
      <x:c r="L7" s="84" t="str"/>
      <x:c r="M7" s="84" t="str"/>
      <x:c r="N7" s="84" t="str"/>
      <x:c r="O7" s="84" t="str"/>
      <x:c r="P7" s="91" t="str">
        <x:v>Blocked</x:v>
      </x:c>
    </x:row>
    <x:row r="8">
      <x:c r="A8" s="82" t="str"/>
      <x:c r="B8" s="84" t="str"/>
      <x:c r="C8" s="84" t="str"/>
      <x:c r="D8" s="84" t="str"/>
      <x:c r="E8" s="101"/>
      <x:c r="F8" s="84" t="str"/>
      <x:c r="G8" s="84" t="str"/>
      <x:c r="H8" s="84" t="str"/>
      <x:c r="I8" s="98" t="n">
        <x:v>0</x:v>
      </x:c>
      <x:c r="J8" s="98" t="n">
        <x:v>0</x:v>
      </x:c>
      <x:c r="K8" s="98" t="n">
        <x:v>0</x:v>
      </x:c>
      <x:c r="L8" s="84" t="str"/>
      <x:c r="M8" s="84" t="str"/>
      <x:c r="N8" s="84" t="str"/>
      <x:c r="O8" s="84" t="str"/>
      <x:c r="P8" s="91" t="str">
        <x:v>Blocked</x:v>
      </x:c>
    </x:row>
    <x:row r="9">
      <x:c r="A9" s="82" t="str"/>
      <x:c r="B9" s="84" t="str"/>
      <x:c r="C9" s="84" t="str"/>
      <x:c r="D9" s="84" t="str"/>
      <x:c r="E9" s="101"/>
      <x:c r="F9" s="84" t="str"/>
      <x:c r="G9" s="84" t="str"/>
      <x:c r="H9" s="84" t="str"/>
      <x:c r="I9" s="98" t="n">
        <x:v>0</x:v>
      </x:c>
      <x:c r="J9" s="98" t="n">
        <x:v>0</x:v>
      </x:c>
      <x:c r="K9" s="98" t="n">
        <x:v>0</x:v>
      </x:c>
      <x:c r="L9" s="84" t="str"/>
      <x:c r="M9" s="84" t="str"/>
      <x:c r="N9" s="84" t="str"/>
      <x:c r="O9" s="84" t="str"/>
      <x:c r="P9" s="91" t="str">
        <x:v>Blocked</x:v>
      </x:c>
    </x:row>
    <x:row r="10">
      <x:c r="A10" s="82" t="str"/>
      <x:c r="B10" s="84" t="str"/>
      <x:c r="C10" s="84" t="str"/>
      <x:c r="D10" s="84" t="str"/>
      <x:c r="E10" s="101"/>
      <x:c r="F10" s="84" t="str"/>
      <x:c r="G10" s="84" t="str"/>
      <x:c r="H10" s="84" t="str"/>
      <x:c r="I10" s="98" t="n">
        <x:v>0</x:v>
      </x:c>
      <x:c r="J10" s="98" t="n">
        <x:v>0</x:v>
      </x:c>
      <x:c r="K10" s="98" t="n">
        <x:v>0</x:v>
      </x:c>
      <x:c r="L10" s="84" t="str"/>
      <x:c r="M10" s="84" t="str"/>
      <x:c r="N10" s="84" t="str"/>
      <x:c r="O10" s="84" t="str"/>
      <x:c r="P10" s="91" t="str">
        <x:v>Blocked</x:v>
      </x:c>
    </x:row>
    <x:row r="11">
      <x:c r="A11" s="82" t="str"/>
      <x:c r="B11" s="84" t="str"/>
      <x:c r="C11" s="84" t="str"/>
      <x:c r="D11" s="84" t="str"/>
      <x:c r="E11" s="101"/>
      <x:c r="F11" s="84" t="str"/>
      <x:c r="G11" s="84" t="str"/>
      <x:c r="H11" s="84" t="str"/>
      <x:c r="I11" s="98" t="n">
        <x:v>0</x:v>
      </x:c>
      <x:c r="J11" s="98" t="n">
        <x:v>0</x:v>
      </x:c>
      <x:c r="K11" s="98" t="n">
        <x:v>0</x:v>
      </x:c>
      <x:c r="L11" s="84" t="str"/>
      <x:c r="M11" s="84" t="str"/>
      <x:c r="N11" s="84" t="str"/>
      <x:c r="O11" s="84" t="str"/>
      <x:c r="P11" s="91" t="str">
        <x:v>Blocked</x:v>
      </x:c>
    </x:row>
    <x:row r="12">
      <x:c r="A12" s="82" t="str"/>
      <x:c r="B12" s="84" t="str"/>
      <x:c r="C12" s="84" t="str"/>
      <x:c r="D12" s="84" t="str"/>
      <x:c r="E12" s="101"/>
      <x:c r="F12" s="84" t="str"/>
      <x:c r="G12" s="84" t="str"/>
      <x:c r="H12" s="84" t="str"/>
      <x:c r="I12" s="98" t="n">
        <x:v>0</x:v>
      </x:c>
      <x:c r="J12" s="98" t="n">
        <x:v>0</x:v>
      </x:c>
      <x:c r="K12" s="98" t="n">
        <x:v>0</x:v>
      </x:c>
      <x:c r="L12" s="84" t="str"/>
      <x:c r="M12" s="84" t="str"/>
      <x:c r="N12" s="84" t="str"/>
      <x:c r="O12" s="84" t="str"/>
      <x:c r="P12" s="91" t="str">
        <x:v>Blocked</x:v>
      </x:c>
    </x:row>
    <x:row r="13">
      <x:c r="A13" s="82" t="str"/>
      <x:c r="B13" s="84" t="str"/>
      <x:c r="C13" s="84" t="str"/>
      <x:c r="D13" s="84" t="str"/>
      <x:c r="E13" s="101"/>
      <x:c r="F13" s="84" t="str"/>
      <x:c r="G13" s="84" t="str"/>
      <x:c r="H13" s="84" t="str"/>
      <x:c r="I13" s="98" t="n">
        <x:v>0</x:v>
      </x:c>
      <x:c r="J13" s="98" t="n">
        <x:v>0</x:v>
      </x:c>
      <x:c r="K13" s="98" t="n">
        <x:v>0</x:v>
      </x:c>
      <x:c r="L13" s="84" t="str"/>
      <x:c r="M13" s="84" t="str"/>
      <x:c r="N13" s="84" t="str"/>
      <x:c r="O13" s="84" t="str"/>
      <x:c r="P13" s="91" t="str">
        <x:v>Blocked</x:v>
      </x:c>
    </x:row>
    <x:row r="14">
      <x:c r="A14" s="82" t="str"/>
      <x:c r="B14" s="84" t="str"/>
      <x:c r="C14" s="84" t="str"/>
      <x:c r="D14" s="84" t="str"/>
      <x:c r="E14" s="101"/>
      <x:c r="F14" s="84" t="str"/>
      <x:c r="G14" s="84" t="str"/>
      <x:c r="H14" s="84" t="str"/>
      <x:c r="I14" s="98" t="n">
        <x:v>0</x:v>
      </x:c>
      <x:c r="J14" s="98" t="n">
        <x:v>0</x:v>
      </x:c>
      <x:c r="K14" s="98" t="n">
        <x:v>0</x:v>
      </x:c>
      <x:c r="L14" s="84" t="str"/>
      <x:c r="M14" s="84" t="str"/>
      <x:c r="N14" s="84" t="str"/>
      <x:c r="O14" s="84" t="str"/>
      <x:c r="P14" s="91" t="str">
        <x:v>Blocked</x:v>
      </x:c>
    </x:row>
    <x:row r="15">
      <x:c r="A15" s="82" t="str"/>
      <x:c r="B15" s="84" t="str"/>
      <x:c r="C15" s="84" t="str"/>
      <x:c r="D15" s="84" t="str"/>
      <x:c r="E15" s="101"/>
      <x:c r="F15" s="84" t="str"/>
      <x:c r="G15" s="84" t="str"/>
      <x:c r="H15" s="84" t="str"/>
      <x:c r="I15" s="98" t="n">
        <x:v>0</x:v>
      </x:c>
      <x:c r="J15" s="98" t="n">
        <x:v>0</x:v>
      </x:c>
      <x:c r="K15" s="98" t="n">
        <x:v>0</x:v>
      </x:c>
      <x:c r="L15" s="84" t="str"/>
      <x:c r="M15" s="84" t="str"/>
      <x:c r="N15" s="84" t="str"/>
      <x:c r="O15" s="84" t="str"/>
      <x:c r="P15" s="91" t="str">
        <x:v>Blocked</x:v>
      </x:c>
    </x:row>
    <x:row r="16">
      <x:c r="A16" s="82" t="str"/>
      <x:c r="B16" s="84" t="str"/>
      <x:c r="C16" s="84" t="str"/>
      <x:c r="D16" s="84" t="str"/>
      <x:c r="E16" s="101"/>
      <x:c r="F16" s="84" t="str"/>
      <x:c r="G16" s="84" t="str"/>
      <x:c r="H16" s="84" t="str"/>
      <x:c r="I16" s="98" t="n">
        <x:v>0</x:v>
      </x:c>
      <x:c r="J16" s="98" t="n">
        <x:v>0</x:v>
      </x:c>
      <x:c r="K16" s="98" t="n">
        <x:v>0</x:v>
      </x:c>
      <x:c r="L16" s="84" t="str"/>
      <x:c r="M16" s="84" t="str"/>
      <x:c r="N16" s="84" t="str"/>
      <x:c r="O16" s="84" t="str"/>
      <x:c r="P16" s="91" t="str">
        <x:v>Blocked</x:v>
      </x:c>
    </x:row>
    <x:row r="17">
      <x:c r="A17" s="82" t="str"/>
      <x:c r="B17" s="84" t="str"/>
      <x:c r="C17" s="84" t="str"/>
      <x:c r="D17" s="84" t="str"/>
      <x:c r="E17" s="101"/>
      <x:c r="F17" s="84" t="str"/>
      <x:c r="G17" s="84" t="str"/>
      <x:c r="H17" s="84" t="str"/>
      <x:c r="I17" s="98" t="n">
        <x:v>0</x:v>
      </x:c>
      <x:c r="J17" s="98" t="n">
        <x:v>0</x:v>
      </x:c>
      <x:c r="K17" s="98" t="n">
        <x:v>0</x:v>
      </x:c>
      <x:c r="L17" s="84" t="str"/>
      <x:c r="M17" s="84" t="str"/>
      <x:c r="N17" s="84" t="str"/>
      <x:c r="O17" s="84" t="str"/>
      <x:c r="P17" s="91" t="str">
        <x:v>Blocked</x:v>
      </x:c>
    </x:row>
    <x:row r="18">
      <x:c r="A18" s="82" t="str"/>
      <x:c r="B18" s="84" t="str"/>
      <x:c r="C18" s="84" t="str"/>
      <x:c r="D18" s="84" t="str"/>
      <x:c r="E18" s="101"/>
      <x:c r="F18" s="84" t="str"/>
      <x:c r="G18" s="84" t="str"/>
      <x:c r="H18" s="84" t="str"/>
      <x:c r="I18" s="98" t="n">
        <x:v>0</x:v>
      </x:c>
      <x:c r="J18" s="98" t="n">
        <x:v>0</x:v>
      </x:c>
      <x:c r="K18" s="98" t="n">
        <x:v>0</x:v>
      </x:c>
      <x:c r="L18" s="84" t="str"/>
      <x:c r="M18" s="84" t="str"/>
      <x:c r="N18" s="84" t="str"/>
      <x:c r="O18" s="84" t="str"/>
      <x:c r="P18" s="91" t="str">
        <x:v>Blocked</x:v>
      </x:c>
    </x:row>
    <x:row r="19">
      <x:c r="A19" s="82" t="str"/>
      <x:c r="B19" s="84" t="str"/>
      <x:c r="C19" s="84" t="str"/>
      <x:c r="D19" s="84" t="str"/>
      <x:c r="E19" s="101"/>
      <x:c r="F19" s="84" t="str"/>
      <x:c r="G19" s="84" t="str"/>
      <x:c r="H19" s="84" t="str"/>
      <x:c r="I19" s="98" t="n">
        <x:v>0</x:v>
      </x:c>
      <x:c r="J19" s="98" t="n">
        <x:v>0</x:v>
      </x:c>
      <x:c r="K19" s="98" t="n">
        <x:v>0</x:v>
      </x:c>
      <x:c r="L19" s="84" t="str"/>
      <x:c r="M19" s="84" t="str"/>
      <x:c r="N19" s="84" t="str"/>
      <x:c r="O19" s="84" t="str"/>
      <x:c r="P19" s="91" t="str">
        <x:v>Blocked</x:v>
      </x:c>
    </x:row>
    <x:row r="20">
      <x:c r="A20" s="82" t="str"/>
      <x:c r="B20" s="84" t="str"/>
      <x:c r="C20" s="84" t="str"/>
      <x:c r="D20" s="84" t="str"/>
      <x:c r="E20" s="101"/>
      <x:c r="F20" s="84" t="str"/>
      <x:c r="G20" s="84" t="str"/>
      <x:c r="H20" s="84" t="str"/>
      <x:c r="I20" s="98" t="n">
        <x:v>0</x:v>
      </x:c>
      <x:c r="J20" s="98" t="n">
        <x:v>0</x:v>
      </x:c>
      <x:c r="K20" s="98" t="n">
        <x:v>0</x:v>
      </x:c>
      <x:c r="L20" s="84" t="str"/>
      <x:c r="M20" s="84" t="str"/>
      <x:c r="N20" s="84" t="str"/>
      <x:c r="O20" s="84" t="str"/>
      <x:c r="P20" s="91" t="str">
        <x:v>Blocked</x:v>
      </x:c>
    </x:row>
    <x:row r="21">
      <x:c r="A21" s="82" t="str"/>
      <x:c r="B21" s="84" t="str"/>
      <x:c r="C21" s="84" t="str"/>
      <x:c r="D21" s="84" t="str"/>
      <x:c r="E21" s="101"/>
      <x:c r="F21" s="84" t="str"/>
      <x:c r="G21" s="84" t="str"/>
      <x:c r="H21" s="84" t="str"/>
      <x:c r="I21" s="98" t="n">
        <x:v>0</x:v>
      </x:c>
      <x:c r="J21" s="98" t="n">
        <x:v>0</x:v>
      </x:c>
      <x:c r="K21" s="98" t="n">
        <x:v>0</x:v>
      </x:c>
      <x:c r="L21" s="84" t="str"/>
      <x:c r="M21" s="84" t="str"/>
      <x:c r="N21" s="84" t="str"/>
      <x:c r="O21" s="84" t="str"/>
      <x:c r="P21" s="91" t="str">
        <x:v>Blocked</x:v>
      </x:c>
    </x:row>
    <x:row r="22">
      <x:c r="A22" s="82" t="str"/>
      <x:c r="B22" s="84" t="str"/>
      <x:c r="C22" s="84" t="str"/>
      <x:c r="D22" s="84" t="str"/>
      <x:c r="E22" s="101"/>
      <x:c r="F22" s="84" t="str"/>
      <x:c r="G22" s="84" t="str"/>
      <x:c r="H22" s="84" t="str"/>
      <x:c r="I22" s="98" t="n">
        <x:v>0</x:v>
      </x:c>
      <x:c r="J22" s="98" t="n">
        <x:v>0</x:v>
      </x:c>
      <x:c r="K22" s="98" t="n">
        <x:v>0</x:v>
      </x:c>
      <x:c r="L22" s="84" t="str"/>
      <x:c r="M22" s="84" t="str"/>
      <x:c r="N22" s="84" t="str"/>
      <x:c r="O22" s="84" t="str"/>
      <x:c r="P22" s="91" t="str">
        <x:v>Blocked</x:v>
      </x:c>
    </x:row>
    <x:row r="23">
      <x:c r="A23" s="82" t="str"/>
      <x:c r="B23" s="84" t="str"/>
      <x:c r="C23" s="84" t="str"/>
      <x:c r="D23" s="84" t="str"/>
      <x:c r="E23" s="101"/>
      <x:c r="F23" s="84" t="str"/>
      <x:c r="G23" s="84" t="str"/>
      <x:c r="H23" s="84" t="str"/>
      <x:c r="I23" s="98" t="n">
        <x:v>0</x:v>
      </x:c>
      <x:c r="J23" s="98" t="n">
        <x:v>0</x:v>
      </x:c>
      <x:c r="K23" s="98" t="n">
        <x:v>0</x:v>
      </x:c>
      <x:c r="L23" s="84" t="str"/>
      <x:c r="M23" s="84" t="str"/>
      <x:c r="N23" s="84" t="str"/>
      <x:c r="O23" s="84" t="str"/>
      <x:c r="P23" s="91" t="str">
        <x:v>Blocked</x:v>
      </x:c>
    </x:row>
    <x:row r="24">
      <x:c r="A24" s="82" t="str"/>
      <x:c r="B24" s="84" t="str"/>
      <x:c r="C24" s="84" t="str"/>
      <x:c r="D24" s="84" t="str"/>
      <x:c r="E24" s="101"/>
      <x:c r="F24" s="84" t="str"/>
      <x:c r="G24" s="84" t="str"/>
      <x:c r="H24" s="84" t="str"/>
      <x:c r="I24" s="98" t="n">
        <x:v>0</x:v>
      </x:c>
      <x:c r="J24" s="98" t="n">
        <x:v>0</x:v>
      </x:c>
      <x:c r="K24" s="98" t="n">
        <x:v>0</x:v>
      </x:c>
      <x:c r="L24" s="84" t="str"/>
      <x:c r="M24" s="84" t="str"/>
      <x:c r="N24" s="84" t="str"/>
      <x:c r="O24" s="84" t="str"/>
      <x:c r="P24" s="91" t="str">
        <x:v>Blocked</x:v>
      </x:c>
    </x:row>
    <x:row r="25">
      <x:c r="A25" s="82" t="str"/>
      <x:c r="B25" s="84" t="str"/>
      <x:c r="C25" s="84" t="str"/>
      <x:c r="D25" s="84" t="str"/>
      <x:c r="E25" s="101"/>
      <x:c r="F25" s="84" t="str"/>
      <x:c r="G25" s="84" t="str"/>
      <x:c r="H25" s="84" t="str"/>
      <x:c r="I25" s="98" t="n">
        <x:v>0</x:v>
      </x:c>
      <x:c r="J25" s="98" t="n">
        <x:v>0</x:v>
      </x:c>
      <x:c r="K25" s="98" t="n">
        <x:v>0</x:v>
      </x:c>
      <x:c r="L25" s="84" t="str"/>
      <x:c r="M25" s="84" t="str"/>
      <x:c r="N25" s="84" t="str"/>
      <x:c r="O25" s="84" t="str"/>
      <x:c r="P25" s="91" t="str">
        <x:v>Blocked</x:v>
      </x:c>
    </x:row>
    <x:row r="26">
      <x:c r="A26" s="82" t="str"/>
      <x:c r="B26" s="84" t="str"/>
      <x:c r="C26" s="84" t="str"/>
      <x:c r="D26" s="84" t="str"/>
      <x:c r="E26" s="101"/>
      <x:c r="F26" s="84" t="str"/>
      <x:c r="G26" s="84" t="str"/>
      <x:c r="H26" s="84" t="str"/>
      <x:c r="I26" s="98" t="n">
        <x:v>0</x:v>
      </x:c>
      <x:c r="J26" s="98" t="n">
        <x:v>0</x:v>
      </x:c>
      <x:c r="K26" s="98" t="n">
        <x:v>0</x:v>
      </x:c>
      <x:c r="L26" s="84" t="str"/>
      <x:c r="M26" s="84" t="str"/>
      <x:c r="N26" s="84" t="str"/>
      <x:c r="O26" s="84" t="str"/>
      <x:c r="P26" s="91" t="str">
        <x:v>Blocked</x:v>
      </x:c>
    </x:row>
    <x:row r="27">
      <x:c r="A27" s="82" t="str"/>
      <x:c r="B27" s="84" t="str"/>
      <x:c r="C27" s="84" t="str"/>
      <x:c r="D27" s="84" t="str"/>
      <x:c r="E27" s="101"/>
      <x:c r="F27" s="84" t="str"/>
      <x:c r="G27" s="84" t="str"/>
      <x:c r="H27" s="84" t="str"/>
      <x:c r="I27" s="98" t="n">
        <x:v>0</x:v>
      </x:c>
      <x:c r="J27" s="98" t="n">
        <x:v>0</x:v>
      </x:c>
      <x:c r="K27" s="98" t="n">
        <x:v>0</x:v>
      </x:c>
      <x:c r="L27" s="84" t="str"/>
      <x:c r="M27" s="84" t="str"/>
      <x:c r="N27" s="84" t="str"/>
      <x:c r="O27" s="84" t="str"/>
      <x:c r="P27" s="91" t="str">
        <x:v>Blocked</x:v>
      </x:c>
    </x:row>
    <x:row r="28">
      <x:c r="A28" s="82" t="str"/>
      <x:c r="B28" s="84" t="str"/>
      <x:c r="C28" s="84" t="str"/>
      <x:c r="D28" s="84" t="str"/>
      <x:c r="E28" s="101"/>
      <x:c r="F28" s="84" t="str"/>
      <x:c r="G28" s="84" t="str"/>
      <x:c r="H28" s="84" t="str"/>
      <x:c r="I28" s="98" t="n">
        <x:v>0</x:v>
      </x:c>
      <x:c r="J28" s="98" t="n">
        <x:v>0</x:v>
      </x:c>
      <x:c r="K28" s="98" t="n">
        <x:v>0</x:v>
      </x:c>
      <x:c r="L28" s="84" t="str"/>
      <x:c r="M28" s="84" t="str"/>
      <x:c r="N28" s="84" t="str"/>
      <x:c r="O28" s="84" t="str"/>
      <x:c r="P28" s="91" t="str">
        <x:v>Blocked</x:v>
      </x:c>
    </x:row>
    <x:row r="29">
      <x:c r="A29" s="86" t="str"/>
      <x:c r="B29" s="87" t="str"/>
      <x:c r="C29" s="87" t="str"/>
      <x:c r="D29" s="87" t="str"/>
      <x:c r="E29" s="102"/>
      <x:c r="F29" s="87" t="str"/>
      <x:c r="G29" s="87" t="str"/>
      <x:c r="H29" s="87" t="str"/>
      <x:c r="I29" s="99" t="n">
        <x:v>0</x:v>
      </x:c>
      <x:c r="J29" s="99" t="n">
        <x:v>0</x:v>
      </x:c>
      <x:c r="K29" s="99" t="n">
        <x:v>0</x:v>
      </x:c>
      <x:c r="L29" s="87" t="str"/>
      <x:c r="M29" s="87" t="str"/>
      <x:c r="N29" s="87" t="str"/>
      <x:c r="O29" s="87" t="str"/>
      <x:c r="P29" s="92" t="str">
        <x:v>Blocked</x:v>
      </x:c>
    </x:row>
  </x:sheetData>
  <x:mergeCells>
    <x:mergeCell ref="A1:P1"/>
    <x:mergeCell ref="A2:P2"/>
  </x:mergeCells>
  <x:conditionalFormatting sqref="P5:P29">
    <x:cfRule type="containsText" dxfId="10" priority="1" operator="containsText" text="Blocked"/>
  </x:conditionalFormatting>
  <x:dataValidations count="1">
    <x:dataValidation type="list" sqref="P5:P29">
      <x:formula1>"Blocked,Finance Reviewed,Approved for Dry Run,Rejected"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93" t="str">
        <x:v>UAT and Hypercare Issue Log</x:v>
      </x:c>
      <x:c r="B1" s="72"/>
      <x:c r="C1" s="72"/>
      <x:c r="D1" s="72"/>
      <x:c r="E1" s="72"/>
      <x:c r="F1" s="72"/>
      <x:c r="G1" s="72"/>
      <x:c r="H1" s="72"/>
      <x:c r="I1" s="72"/>
      <x:c r="J1" s="72"/>
    </x:row>
    <x:row r="2" ht="32" customHeight="1">
      <x:c r="A2" s="73" t="str">
        <x:v>Use one issue per row with reproducible evidence and an owner. Critical issues block cutover until closed or formally waived.</x:v>
      </x:c>
      <x:c r="B2" s="73"/>
      <x:c r="C2" s="73"/>
      <x:c r="D2" s="73"/>
      <x:c r="E2" s="73"/>
      <x:c r="F2" s="73"/>
      <x:c r="G2" s="73"/>
      <x:c r="H2" s="73"/>
      <x:c r="I2" s="73"/>
      <x:c r="J2" s="73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</x:row>
    <x:row r="4" ht="28" customHeight="1">
      <x:c r="A4" s="75" t="str">
        <x:v>Issue ID</x:v>
      </x:c>
      <x:c r="B4" s="77" t="str">
        <x:v>Phase</x:v>
      </x:c>
      <x:c r="C4" s="77" t="str">
        <x:v>Severity</x:v>
      </x:c>
      <x:c r="D4" s="77" t="str">
        <x:v>Process / module</x:v>
      </x:c>
      <x:c r="E4" s="77" t="str">
        <x:v>Description</x:v>
      </x:c>
      <x:c r="F4" s="77" t="str">
        <x:v>Owner</x:v>
      </x:c>
      <x:c r="G4" s="77" t="str">
        <x:v>Due date</x:v>
      </x:c>
      <x:c r="H4" s="77" t="str">
        <x:v>Status</x:v>
      </x:c>
      <x:c r="I4" s="77" t="str">
        <x:v>Resolution / evidence</x:v>
      </x:c>
      <x:c r="J4" s="76" t="str">
        <x:v>Closed date</x:v>
      </x:c>
    </x:row>
    <x:row r="5">
      <x:c r="A5" s="78" t="str">
        <x:v>ISS-001</x:v>
      </x:c>
      <x:c r="B5" s="80" t="str">
        <x:v>UAT</x:v>
      </x:c>
      <x:c r="C5" s="80" t="str">
        <x:v>Medium</x:v>
      </x:c>
      <x:c r="D5" s="80" t="str"/>
      <x:c r="E5" s="80" t="str"/>
      <x:c r="F5" s="80" t="str"/>
      <x:c r="G5" s="100"/>
      <x:c r="H5" s="80" t="str">
        <x:v>Open</x:v>
      </x:c>
      <x:c r="I5" s="80" t="str"/>
      <x:c r="J5" s="81"/>
    </x:row>
    <x:row r="6">
      <x:c r="A6" s="82" t="str">
        <x:v>ISS-002</x:v>
      </x:c>
      <x:c r="B6" s="84" t="str">
        <x:v>UAT</x:v>
      </x:c>
      <x:c r="C6" s="84" t="str">
        <x:v>Medium</x:v>
      </x:c>
      <x:c r="D6" s="84" t="str"/>
      <x:c r="E6" s="84" t="str"/>
      <x:c r="F6" s="84" t="str"/>
      <x:c r="G6" s="101"/>
      <x:c r="H6" s="84" t="str">
        <x:v>Open</x:v>
      </x:c>
      <x:c r="I6" s="84" t="str"/>
      <x:c r="J6" s="85"/>
    </x:row>
    <x:row r="7">
      <x:c r="A7" s="82" t="str">
        <x:v>ISS-003</x:v>
      </x:c>
      <x:c r="B7" s="84" t="str">
        <x:v>UAT</x:v>
      </x:c>
      <x:c r="C7" s="84" t="str">
        <x:v>Medium</x:v>
      </x:c>
      <x:c r="D7" s="84" t="str"/>
      <x:c r="E7" s="84" t="str"/>
      <x:c r="F7" s="84" t="str"/>
      <x:c r="G7" s="101"/>
      <x:c r="H7" s="84" t="str">
        <x:v>Open</x:v>
      </x:c>
      <x:c r="I7" s="84" t="str"/>
      <x:c r="J7" s="85"/>
    </x:row>
    <x:row r="8">
      <x:c r="A8" s="82" t="str">
        <x:v>ISS-004</x:v>
      </x:c>
      <x:c r="B8" s="84" t="str">
        <x:v>UAT</x:v>
      </x:c>
      <x:c r="C8" s="84" t="str">
        <x:v>Medium</x:v>
      </x:c>
      <x:c r="D8" s="84" t="str"/>
      <x:c r="E8" s="84" t="str"/>
      <x:c r="F8" s="84" t="str"/>
      <x:c r="G8" s="101"/>
      <x:c r="H8" s="84" t="str">
        <x:v>Open</x:v>
      </x:c>
      <x:c r="I8" s="84" t="str"/>
      <x:c r="J8" s="85"/>
    </x:row>
    <x:row r="9">
      <x:c r="A9" s="82" t="str">
        <x:v>ISS-005</x:v>
      </x:c>
      <x:c r="B9" s="84" t="str">
        <x:v>UAT</x:v>
      </x:c>
      <x:c r="C9" s="84" t="str">
        <x:v>Medium</x:v>
      </x:c>
      <x:c r="D9" s="84" t="str"/>
      <x:c r="E9" s="84" t="str"/>
      <x:c r="F9" s="84" t="str"/>
      <x:c r="G9" s="101"/>
      <x:c r="H9" s="84" t="str">
        <x:v>Open</x:v>
      </x:c>
      <x:c r="I9" s="84" t="str"/>
      <x:c r="J9" s="85"/>
    </x:row>
    <x:row r="10">
      <x:c r="A10" s="82" t="str">
        <x:v>ISS-006</x:v>
      </x:c>
      <x:c r="B10" s="84" t="str">
        <x:v>UAT</x:v>
      </x:c>
      <x:c r="C10" s="84" t="str">
        <x:v>Medium</x:v>
      </x:c>
      <x:c r="D10" s="84" t="str"/>
      <x:c r="E10" s="84" t="str"/>
      <x:c r="F10" s="84" t="str"/>
      <x:c r="G10" s="101"/>
      <x:c r="H10" s="84" t="str">
        <x:v>Open</x:v>
      </x:c>
      <x:c r="I10" s="84" t="str"/>
      <x:c r="J10" s="85"/>
    </x:row>
    <x:row r="11">
      <x:c r="A11" s="82" t="str">
        <x:v>ISS-007</x:v>
      </x:c>
      <x:c r="B11" s="84" t="str">
        <x:v>UAT</x:v>
      </x:c>
      <x:c r="C11" s="84" t="str">
        <x:v>Medium</x:v>
      </x:c>
      <x:c r="D11" s="84" t="str"/>
      <x:c r="E11" s="84" t="str"/>
      <x:c r="F11" s="84" t="str"/>
      <x:c r="G11" s="101"/>
      <x:c r="H11" s="84" t="str">
        <x:v>Open</x:v>
      </x:c>
      <x:c r="I11" s="84" t="str"/>
      <x:c r="J11" s="85"/>
    </x:row>
    <x:row r="12">
      <x:c r="A12" s="82" t="str">
        <x:v>ISS-008</x:v>
      </x:c>
      <x:c r="B12" s="84" t="str">
        <x:v>UAT</x:v>
      </x:c>
      <x:c r="C12" s="84" t="str">
        <x:v>Medium</x:v>
      </x:c>
      <x:c r="D12" s="84" t="str"/>
      <x:c r="E12" s="84" t="str"/>
      <x:c r="F12" s="84" t="str"/>
      <x:c r="G12" s="101"/>
      <x:c r="H12" s="84" t="str">
        <x:v>Open</x:v>
      </x:c>
      <x:c r="I12" s="84" t="str"/>
      <x:c r="J12" s="85"/>
    </x:row>
    <x:row r="13">
      <x:c r="A13" s="82" t="str">
        <x:v>ISS-009</x:v>
      </x:c>
      <x:c r="B13" s="84" t="str">
        <x:v>UAT</x:v>
      </x:c>
      <x:c r="C13" s="84" t="str">
        <x:v>Medium</x:v>
      </x:c>
      <x:c r="D13" s="84" t="str"/>
      <x:c r="E13" s="84" t="str"/>
      <x:c r="F13" s="84" t="str"/>
      <x:c r="G13" s="101"/>
      <x:c r="H13" s="84" t="str">
        <x:v>Open</x:v>
      </x:c>
      <x:c r="I13" s="84" t="str"/>
      <x:c r="J13" s="85"/>
    </x:row>
    <x:row r="14">
      <x:c r="A14" s="82" t="str">
        <x:v>ISS-010</x:v>
      </x:c>
      <x:c r="B14" s="84" t="str">
        <x:v>UAT</x:v>
      </x:c>
      <x:c r="C14" s="84" t="str">
        <x:v>Medium</x:v>
      </x:c>
      <x:c r="D14" s="84" t="str"/>
      <x:c r="E14" s="84" t="str"/>
      <x:c r="F14" s="84" t="str"/>
      <x:c r="G14" s="101"/>
      <x:c r="H14" s="84" t="str">
        <x:v>Open</x:v>
      </x:c>
      <x:c r="I14" s="84" t="str"/>
      <x:c r="J14" s="85"/>
    </x:row>
    <x:row r="15">
      <x:c r="A15" s="82" t="str">
        <x:v>ISS-011</x:v>
      </x:c>
      <x:c r="B15" s="84" t="str">
        <x:v>UAT</x:v>
      </x:c>
      <x:c r="C15" s="84" t="str">
        <x:v>Medium</x:v>
      </x:c>
      <x:c r="D15" s="84" t="str"/>
      <x:c r="E15" s="84" t="str"/>
      <x:c r="F15" s="84" t="str"/>
      <x:c r="G15" s="101"/>
      <x:c r="H15" s="84" t="str">
        <x:v>Open</x:v>
      </x:c>
      <x:c r="I15" s="84" t="str"/>
      <x:c r="J15" s="85"/>
    </x:row>
    <x:row r="16">
      <x:c r="A16" s="82" t="str">
        <x:v>ISS-012</x:v>
      </x:c>
      <x:c r="B16" s="84" t="str">
        <x:v>UAT</x:v>
      </x:c>
      <x:c r="C16" s="84" t="str">
        <x:v>Medium</x:v>
      </x:c>
      <x:c r="D16" s="84" t="str"/>
      <x:c r="E16" s="84" t="str"/>
      <x:c r="F16" s="84" t="str"/>
      <x:c r="G16" s="101"/>
      <x:c r="H16" s="84" t="str">
        <x:v>Open</x:v>
      </x:c>
      <x:c r="I16" s="84" t="str"/>
      <x:c r="J16" s="85"/>
    </x:row>
    <x:row r="17">
      <x:c r="A17" s="82" t="str">
        <x:v>ISS-013</x:v>
      </x:c>
      <x:c r="B17" s="84" t="str">
        <x:v>UAT</x:v>
      </x:c>
      <x:c r="C17" s="84" t="str">
        <x:v>Medium</x:v>
      </x:c>
      <x:c r="D17" s="84" t="str"/>
      <x:c r="E17" s="84" t="str"/>
      <x:c r="F17" s="84" t="str"/>
      <x:c r="G17" s="101"/>
      <x:c r="H17" s="84" t="str">
        <x:v>Open</x:v>
      </x:c>
      <x:c r="I17" s="84" t="str"/>
      <x:c r="J17" s="85"/>
    </x:row>
    <x:row r="18">
      <x:c r="A18" s="82" t="str">
        <x:v>ISS-014</x:v>
      </x:c>
      <x:c r="B18" s="84" t="str">
        <x:v>UAT</x:v>
      </x:c>
      <x:c r="C18" s="84" t="str">
        <x:v>Medium</x:v>
      </x:c>
      <x:c r="D18" s="84" t="str"/>
      <x:c r="E18" s="84" t="str"/>
      <x:c r="F18" s="84" t="str"/>
      <x:c r="G18" s="101"/>
      <x:c r="H18" s="84" t="str">
        <x:v>Open</x:v>
      </x:c>
      <x:c r="I18" s="84" t="str"/>
      <x:c r="J18" s="85"/>
    </x:row>
    <x:row r="19">
      <x:c r="A19" s="82" t="str">
        <x:v>ISS-015</x:v>
      </x:c>
      <x:c r="B19" s="84" t="str">
        <x:v>UAT</x:v>
      </x:c>
      <x:c r="C19" s="84" t="str">
        <x:v>Medium</x:v>
      </x:c>
      <x:c r="D19" s="84" t="str"/>
      <x:c r="E19" s="84" t="str"/>
      <x:c r="F19" s="84" t="str"/>
      <x:c r="G19" s="101"/>
      <x:c r="H19" s="84" t="str">
        <x:v>Open</x:v>
      </x:c>
      <x:c r="I19" s="84" t="str"/>
      <x:c r="J19" s="85"/>
    </x:row>
    <x:row r="20">
      <x:c r="A20" s="82" t="str">
        <x:v>ISS-016</x:v>
      </x:c>
      <x:c r="B20" s="84" t="str">
        <x:v>UAT</x:v>
      </x:c>
      <x:c r="C20" s="84" t="str">
        <x:v>Medium</x:v>
      </x:c>
      <x:c r="D20" s="84" t="str"/>
      <x:c r="E20" s="84" t="str"/>
      <x:c r="F20" s="84" t="str"/>
      <x:c r="G20" s="101"/>
      <x:c r="H20" s="84" t="str">
        <x:v>Open</x:v>
      </x:c>
      <x:c r="I20" s="84" t="str"/>
      <x:c r="J20" s="85"/>
    </x:row>
    <x:row r="21">
      <x:c r="A21" s="82" t="str">
        <x:v>ISS-017</x:v>
      </x:c>
      <x:c r="B21" s="84" t="str">
        <x:v>UAT</x:v>
      </x:c>
      <x:c r="C21" s="84" t="str">
        <x:v>Medium</x:v>
      </x:c>
      <x:c r="D21" s="84" t="str"/>
      <x:c r="E21" s="84" t="str"/>
      <x:c r="F21" s="84" t="str"/>
      <x:c r="G21" s="101"/>
      <x:c r="H21" s="84" t="str">
        <x:v>Open</x:v>
      </x:c>
      <x:c r="I21" s="84" t="str"/>
      <x:c r="J21" s="85"/>
    </x:row>
    <x:row r="22">
      <x:c r="A22" s="82" t="str">
        <x:v>ISS-018</x:v>
      </x:c>
      <x:c r="B22" s="84" t="str">
        <x:v>UAT</x:v>
      </x:c>
      <x:c r="C22" s="84" t="str">
        <x:v>Medium</x:v>
      </x:c>
      <x:c r="D22" s="84" t="str"/>
      <x:c r="E22" s="84" t="str"/>
      <x:c r="F22" s="84" t="str"/>
      <x:c r="G22" s="101"/>
      <x:c r="H22" s="84" t="str">
        <x:v>Open</x:v>
      </x:c>
      <x:c r="I22" s="84" t="str"/>
      <x:c r="J22" s="85"/>
    </x:row>
    <x:row r="23">
      <x:c r="A23" s="82" t="str">
        <x:v>ISS-019</x:v>
      </x:c>
      <x:c r="B23" s="84" t="str">
        <x:v>UAT</x:v>
      </x:c>
      <x:c r="C23" s="84" t="str">
        <x:v>Medium</x:v>
      </x:c>
      <x:c r="D23" s="84" t="str"/>
      <x:c r="E23" s="84" t="str"/>
      <x:c r="F23" s="84" t="str"/>
      <x:c r="G23" s="101"/>
      <x:c r="H23" s="84" t="str">
        <x:v>Open</x:v>
      </x:c>
      <x:c r="I23" s="84" t="str"/>
      <x:c r="J23" s="85"/>
    </x:row>
    <x:row r="24">
      <x:c r="A24" s="82" t="str">
        <x:v>ISS-020</x:v>
      </x:c>
      <x:c r="B24" s="84" t="str">
        <x:v>UAT</x:v>
      </x:c>
      <x:c r="C24" s="84" t="str">
        <x:v>Medium</x:v>
      </x:c>
      <x:c r="D24" s="84" t="str"/>
      <x:c r="E24" s="84" t="str"/>
      <x:c r="F24" s="84" t="str"/>
      <x:c r="G24" s="101"/>
      <x:c r="H24" s="84" t="str">
        <x:v>Open</x:v>
      </x:c>
      <x:c r="I24" s="84" t="str"/>
      <x:c r="J24" s="85"/>
    </x:row>
    <x:row r="25">
      <x:c r="A25" s="82" t="str">
        <x:v>ISS-021</x:v>
      </x:c>
      <x:c r="B25" s="84" t="str">
        <x:v>UAT</x:v>
      </x:c>
      <x:c r="C25" s="84" t="str">
        <x:v>Medium</x:v>
      </x:c>
      <x:c r="D25" s="84" t="str"/>
      <x:c r="E25" s="84" t="str"/>
      <x:c r="F25" s="84" t="str"/>
      <x:c r="G25" s="101"/>
      <x:c r="H25" s="84" t="str">
        <x:v>Open</x:v>
      </x:c>
      <x:c r="I25" s="84" t="str"/>
      <x:c r="J25" s="85"/>
    </x:row>
    <x:row r="26">
      <x:c r="A26" s="82" t="str">
        <x:v>ISS-022</x:v>
      </x:c>
      <x:c r="B26" s="84" t="str">
        <x:v>UAT</x:v>
      </x:c>
      <x:c r="C26" s="84" t="str">
        <x:v>Medium</x:v>
      </x:c>
      <x:c r="D26" s="84" t="str"/>
      <x:c r="E26" s="84" t="str"/>
      <x:c r="F26" s="84" t="str"/>
      <x:c r="G26" s="101"/>
      <x:c r="H26" s="84" t="str">
        <x:v>Open</x:v>
      </x:c>
      <x:c r="I26" s="84" t="str"/>
      <x:c r="J26" s="85"/>
    </x:row>
    <x:row r="27">
      <x:c r="A27" s="82" t="str">
        <x:v>ISS-023</x:v>
      </x:c>
      <x:c r="B27" s="84" t="str">
        <x:v>UAT</x:v>
      </x:c>
      <x:c r="C27" s="84" t="str">
        <x:v>Medium</x:v>
      </x:c>
      <x:c r="D27" s="84" t="str"/>
      <x:c r="E27" s="84" t="str"/>
      <x:c r="F27" s="84" t="str"/>
      <x:c r="G27" s="101"/>
      <x:c r="H27" s="84" t="str">
        <x:v>Open</x:v>
      </x:c>
      <x:c r="I27" s="84" t="str"/>
      <x:c r="J27" s="85"/>
    </x:row>
    <x:row r="28">
      <x:c r="A28" s="82" t="str">
        <x:v>ISS-024</x:v>
      </x:c>
      <x:c r="B28" s="84" t="str">
        <x:v>UAT</x:v>
      </x:c>
      <x:c r="C28" s="84" t="str">
        <x:v>Medium</x:v>
      </x:c>
      <x:c r="D28" s="84" t="str"/>
      <x:c r="E28" s="84" t="str"/>
      <x:c r="F28" s="84" t="str"/>
      <x:c r="G28" s="101"/>
      <x:c r="H28" s="84" t="str">
        <x:v>Open</x:v>
      </x:c>
      <x:c r="I28" s="84" t="str"/>
      <x:c r="J28" s="85"/>
    </x:row>
    <x:row r="29">
      <x:c r="A29" s="82" t="str">
        <x:v>ISS-025</x:v>
      </x:c>
      <x:c r="B29" s="84" t="str">
        <x:v>UAT</x:v>
      </x:c>
      <x:c r="C29" s="84" t="str">
        <x:v>Medium</x:v>
      </x:c>
      <x:c r="D29" s="84" t="str"/>
      <x:c r="E29" s="84" t="str"/>
      <x:c r="F29" s="84" t="str"/>
      <x:c r="G29" s="101"/>
      <x:c r="H29" s="84" t="str">
        <x:v>Open</x:v>
      </x:c>
      <x:c r="I29" s="84" t="str"/>
      <x:c r="J29" s="85"/>
    </x:row>
    <x:row r="30">
      <x:c r="A30" s="82" t="str">
        <x:v>ISS-026</x:v>
      </x:c>
      <x:c r="B30" s="84" t="str">
        <x:v>UAT</x:v>
      </x:c>
      <x:c r="C30" s="84" t="str">
        <x:v>Medium</x:v>
      </x:c>
      <x:c r="D30" s="84" t="str"/>
      <x:c r="E30" s="84" t="str"/>
      <x:c r="F30" s="84" t="str"/>
      <x:c r="G30" s="101"/>
      <x:c r="H30" s="84" t="str">
        <x:v>Open</x:v>
      </x:c>
      <x:c r="I30" s="84" t="str"/>
      <x:c r="J30" s="85"/>
    </x:row>
    <x:row r="31">
      <x:c r="A31" s="82" t="str">
        <x:v>ISS-027</x:v>
      </x:c>
      <x:c r="B31" s="84" t="str">
        <x:v>UAT</x:v>
      </x:c>
      <x:c r="C31" s="84" t="str">
        <x:v>Medium</x:v>
      </x:c>
      <x:c r="D31" s="84" t="str"/>
      <x:c r="E31" s="84" t="str"/>
      <x:c r="F31" s="84" t="str"/>
      <x:c r="G31" s="101"/>
      <x:c r="H31" s="84" t="str">
        <x:v>Open</x:v>
      </x:c>
      <x:c r="I31" s="84" t="str"/>
      <x:c r="J31" s="85"/>
    </x:row>
    <x:row r="32">
      <x:c r="A32" s="82" t="str">
        <x:v>ISS-028</x:v>
      </x:c>
      <x:c r="B32" s="84" t="str">
        <x:v>UAT</x:v>
      </x:c>
      <x:c r="C32" s="84" t="str">
        <x:v>Medium</x:v>
      </x:c>
      <x:c r="D32" s="84" t="str"/>
      <x:c r="E32" s="84" t="str"/>
      <x:c r="F32" s="84" t="str"/>
      <x:c r="G32" s="101"/>
      <x:c r="H32" s="84" t="str">
        <x:v>Open</x:v>
      </x:c>
      <x:c r="I32" s="84" t="str"/>
      <x:c r="J32" s="85"/>
    </x:row>
    <x:row r="33">
      <x:c r="A33" s="82" t="str">
        <x:v>ISS-029</x:v>
      </x:c>
      <x:c r="B33" s="84" t="str">
        <x:v>UAT</x:v>
      </x:c>
      <x:c r="C33" s="84" t="str">
        <x:v>Medium</x:v>
      </x:c>
      <x:c r="D33" s="84" t="str"/>
      <x:c r="E33" s="84" t="str"/>
      <x:c r="F33" s="84" t="str"/>
      <x:c r="G33" s="101"/>
      <x:c r="H33" s="84" t="str">
        <x:v>Open</x:v>
      </x:c>
      <x:c r="I33" s="84" t="str"/>
      <x:c r="J33" s="85"/>
    </x:row>
    <x:row r="34">
      <x:c r="A34" s="86" t="str">
        <x:v>ISS-030</x:v>
      </x:c>
      <x:c r="B34" s="87" t="str">
        <x:v>UAT</x:v>
      </x:c>
      <x:c r="C34" s="87" t="str">
        <x:v>Medium</x:v>
      </x:c>
      <x:c r="D34" s="87" t="str"/>
      <x:c r="E34" s="87" t="str"/>
      <x:c r="F34" s="87" t="str"/>
      <x:c r="G34" s="102"/>
      <x:c r="H34" s="87" t="str">
        <x:v>Open</x:v>
      </x:c>
      <x:c r="I34" s="87" t="str"/>
      <x:c r="J34" s="88"/>
    </x:row>
  </x:sheetData>
  <x:mergeCells>
    <x:mergeCell ref="A1:J1"/>
    <x:mergeCell ref="A2:J2"/>
  </x:mergeCells>
  <x:conditionalFormatting sqref="C5:C34">
    <x:cfRule type="containsText" dxfId="11" priority="1" operator="containsText" text="Critical"/>
  </x:conditionalFormatting>
  <x:conditionalFormatting sqref="H5:H34">
    <x:cfRule type="containsText" dxfId="12" priority="2" operator="containsText" text="Closed"/>
  </x:conditionalFormatting>
  <x:dataValidations count="3">
    <x:dataValidation type="list" sqref="B5:B34">
      <x:formula1>"Migration,UAT,Pilot,Parallel Run,Cutover,Hypercare"</x:formula1>
    </x:dataValidation>
    <x:dataValidation type="list" sqref="C5:C34">
      <x:formula1>"Critical,High,Medium,Low"</x:formula1>
    </x:dataValidation>
    <x:dataValidation type="list" sqref="H5:H34">
      <x:formula1>"Open,In Progress,Blocked,Closed,Waived"</x:formula1>
    </x:dataValidation>
  </x:dataValidations>
  <x:pageMargins left="0.7" right="0.7" top="0.75" bottom="0.75" header="0.3" footer="0.3"/>
</x:worksheet>
</file>